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srirams/Projects/github/llmProjects/jdm-llm-prompt-robustness-study/src-v1/"/>
    </mc:Choice>
  </mc:AlternateContent>
  <xr:revisionPtr revIDLastSave="0" documentId="13_ncr:1_{C2795736-BDAA-A64F-9C5C-B981DF780BCF}" xr6:coauthVersionLast="47" xr6:coauthVersionMax="47" xr10:uidLastSave="{00000000-0000-0000-0000-000000000000}"/>
  <bookViews>
    <workbookView xWindow="16300" yWindow="2260" windowWidth="39640" windowHeight="24140" xr2:uid="{A81B518D-D96F-0142-BE13-F50DBC12507E}"/>
  </bookViews>
  <sheets>
    <sheet name="JDM" sheetId="1" r:id="rId1"/>
    <sheet name="SLE" sheetId="2" r:id="rId2"/>
    <sheet name="SystemicSclerosis" sheetId="3" r:id="rId3"/>
    <sheet name="MCTD" sheetId="4" r:id="rId4"/>
    <sheet name="JPM"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5" l="1"/>
  <c r="B6" i="5"/>
  <c r="C9" i="4"/>
  <c r="C9" i="3"/>
  <c r="B7" i="2"/>
  <c r="C8" i="2"/>
  <c r="C7" i="2"/>
</calcChain>
</file>

<file path=xl/sharedStrings.xml><?xml version="1.0" encoding="utf-8"?>
<sst xmlns="http://schemas.openxmlformats.org/spreadsheetml/2006/main" count="159" uniqueCount="99">
  <si>
    <t>JDM</t>
  </si>
  <si>
    <t>Ground Truth</t>
  </si>
  <si>
    <t>Formal Symptom List</t>
  </si>
  <si>
    <t>The symptoms are listed as in the textbook with the probability of the symptom being listed as given in the textbook (mid point of the range).</t>
  </si>
  <si>
    <t>ChatGPT-3.5</t>
  </si>
  <si>
    <t>Claude-Sonnet</t>
  </si>
  <si>
    <t>JDM as Top Diagnosis</t>
  </si>
  <si>
    <t>250 different randomly generated combinations of symptoms were run.</t>
  </si>
  <si>
    <t>Prompt</t>
  </si>
  <si>
    <t>I am taking care of a patient and would like your help generating a differential diagnosis.  I will provide details 
        about the patient and the symptoms below. Please output upto 5 conditions that are consistent with the symptoms sorted from the most likely to the least. Your 
        output must be in the format wherein each of the conditions must be in a separate line.
                        1. &lt;name of condition/disease&gt;, &lt;probability of this disease as a percentage&gt;, &lt;brief rationale as to why the patient may have this disease&gt;
                        2. &lt;name of condition/disease&gt;, &lt;probability of this disease as a percentage&gt;, &lt;brief rationale as to why the patient may have this disease&gt;
                        ...
                        5. &lt;name of condition/disease&gt;, &lt;probability of this disease as a percentage&gt;, &lt;brief rationale as to why the patient may have this disease&gt;</t>
  </si>
  <si>
    <t>Example Symptom Descr.</t>
  </si>
  <si>
    <t>The patient is a 10 year old female with a weight of 54 lbs and height of 46 inches. The list of symptoms include  (1) Cannot sit up (2) Tired (3) Rash on eyelids (4) Rosy cheeks (5) Red cuticles  (6) Weight loss and (7) Bumps on neck.</t>
  </si>
  <si>
    <t>JDM in Top 3 diagnoses</t>
  </si>
  <si>
    <t>Top Diagnosis</t>
  </si>
  <si>
    <t>{'juvenile dermatomyositis': 240, 'dermatomyositis': 10}</t>
  </si>
  <si>
    <t>{'juvenile dermatomyositis': 133, 'juvenile dermatomyositis (jdm)': 117}</t>
  </si>
  <si>
    <t>Top Three Diagnoses</t>
  </si>
  <si>
    <t>{'systemic sclerosis': 3,
 'chronic fatigue syndrome': 1,
 "cushing's syndrome": 1,
 'lyme disease': 1,
 'systemic lupus erythematosus': 99,
 'inclusion body myositis': 5,
 'mixed connective tissue disease': 3,
 'vasculitis': 1,
 'inflammatory myopathy': 4,
 'juvenile dermatomyositis': 241,
 'hypothyroidism': 3,
 'idiopathic thrombocytopenic purpura (itp)': 1,
 'juvenile idiopathic arthritis': 76,
 'systemic lupus erythematosus (sle)': 128,
 'guillain-barre syndrome': 1,
 'juvenile idiopathic arthritis (jia)': 7,
 'dermatomyositis': 14,
 'juvenile systemic sclerosis': 1,
 'kawasaki disease': 4,
 'scleroderma': 1,
 'lupus': 13,
 'polymyositis': 115,
 'myasthenia gravis': 1,
 'lupus myositis': 1,
 'mixed connective tissue disease (mctd)': 4,
 'inflammatory bowel disease': 2,
 'poly/dermatomyositis': 1,
 'mitochondrial myopathy': 1,
 'vitamin d deficiency': 1,
 'duchenne muscular dystrophy': 4,
 'systemic sclerosis (scleroderma)': 3,
 'inflammatory myopathies': 2,
 'infectious myositis': 1,
 'rheumatoid arthritis': 3,
 'lipodystrophy': 2,
 'pompe disease': 1}</t>
  </si>
  <si>
    <t>{'juvenile dermatomyositis': 133,
 'muscular dystrophy (e.g., duchenne muscular dystrophy)': 1,
 'viral myositis': 5,
 'muscular dystrophy (e.g., duchenne or becker)': 1,
 'duchenne muscular dystrophy (dmd)': 3,
 'juvenile dermatomyositis (jdm)': 117,
 'polymyositis': 94,
 'systemic sclerosis (scleroderma)': 1,
 'duchenne muscular dystrophy': 2,
 'systemic lupus erythematosus (sle)': 207,
 'muscular dystrophy': 68,
 'juvenile idiopathic arthritis (jia)': 3,
 'systemic lupus erythematosus': 7,
 'mixed connective tissue disease (mctd)': 97,
 'mixed connective tissue disease': 9,
 'muscular dystrophy (md)': 2}</t>
  </si>
  <si>
    <t>Informal Symptom List</t>
  </si>
  <si>
    <t>Each symptoms is translated from its formal textbook description into a possible less formal description. If multiple informal descriptions of a symptom are provided, then one is chosen at random. If no informal description is provided, the original symptom description is used as is.</t>
  </si>
  <si>
    <t>JDM as top Diagnosis</t>
  </si>
  <si>
    <t>Claude-3-Sonnet</t>
  </si>
  <si>
    <t>We ran 1000 randomly generated symptom lists.</t>
  </si>
  <si>
    <t>JDM as top 3 Diagnosis</t>
  </si>
  <si>
    <t>Top Diagnoses</t>
  </si>
  <si>
    <t>{'porphyria': 1,
 'juvenile dermatomyositis': 571,
 'hand, foot, and mouth disease': 1,
 'fifth disease (erythema infectiosum)': 1,
 'congenital hypothyroidism': 1,
 'duchenne muscular dystrophy': 2,
 'juvenile idiopathic arthritis': 316,
 'juvenile rheumatoid arthritis': 2,
 'leukemia': 1,
 'systemic lupus erythematosus (sle)': 24,
 'muscular dystrophy': 1,
 'iron deficiency anemia': 2,
 'celiac disease': 2,
 'systemic lupus erythematosus': 67,
 'juvenile idiopathic arthritis (jia)': 2,
 'cystic fibrosis': 1,
 'kawasaki disease': 5}</t>
  </si>
  <si>
    <t>{'anemia': 1,
 'juvenile dermatomyositis': 410,
 'henoch-schönlein purpura (hsp)': 1,
 'lupus': 1,
 'hypothyroidism': 1,
 'celiac disease': 1,
 'thalassemia': 1,
 'leukemia': 11,
 'acute rheumatic fever': 1,
 'systemic lupus erythematosus (sle)': 249,
 'guillain-barré syndrome (gbs)': 1,
 'iron deficiency anemia': 12,
 'juvenile idiopathic arthritis (jia)': 209,
 'dermatomyositis': 77,
 'lupus (systemic lupus erythematosus)': 4,
 'lupus erythematosus (systemic lupus erythematosus or sle)': 1,
 'kawasaki disease': 19}</t>
  </si>
  <si>
    <t>{'esophageal stricture or achalasia': 1,
 'thalassemia': 1,
 'inflammatory bowel disease (ibd)': 14,
 "cushing's syndrome": 1,
 'acute viral infection': 1,
 'vitamin deficiency (e.g., vitamin c, iron)': 1,
 'ehlers-danlos syndrome': 1,
 'muscular dystrophy': 1,
 'guillain-barré syndrome': 2,
 'systemic lupus erythematosus': 31,
 'lyme disease': 5,
 'viral exanthem': 1,
 'mixed connective tissue disease': 20,
 'vasculitis': 6,
 'lupus (systemic lupus erythematosus)': 4,
 'juvenile dermatomyositis': 701,
 "raynaud's phenomenon": 12,
 'hypothyroidism': 3,
 'viral infection': 1,
 'henoch-schönlein purpura': 2,
 'juvenile idiopathic arthritis': 297,
 'eczema': 1,
 'systemic lupus erythematosus (sle)': 866,
 'eosinophilic esophagitis': 1,
 'celiac disease': 26,
 'juvenile idiopathic arthritis (jia)': 533,
 'sickle cell disease': 1,
 'dermatomyositis': 159,
 'kawasaki disease': 72,
 'asthma': 5,
 'mononucleosis': 1,
 'henoch-schönlein purpura (hsp)': 10,
 'lupus': 13,
 'acute lymphoblastic leukemia': 3,
 'streptococcal pharyngitis': 1,
 'viral respiratory infection': 1,
 'influenza': 1,
 'polymyositis': 3,
 'juvenile rheumatoid arthritis': 2,
 'acute rheumatic fever': 2,
 'myasthenia gravis': 1,
 'gastroesophageal reflux disease (gerd)': 1,
 'mixed connective tissue disease (mctd)': 61,
 'infectious mononucleosis': 5,
 'meningococcal meningitis': 1,
 'lupus erythematosus': 19,
 'lupus erythematosus (systemic lupus erythematosus or sle)': 1,
 'anemia': 7,
 'rheumatic fever': 2,
 'vitamin d deficiency': 4,
 'thyroid disorder': 4,
 "crohn's disease": 1,
 'leukemia': 46,
 'septic arthritis': 2,
 'iron deficiency anemia': 23,
 'guillain-barré syndrome (gbs)': 1,
 'allergic reaction': 4,
 'lymphoma': 10}</t>
  </si>
  <si>
    <t>{'gastrointestinal bleeding': 1,
 'congenital hypothyroidism': 1,
 'chronic fatigue syndrome': 4,
 'photosensitivity': 1,
 'stevens-johnson syndrome': 2,
 'viral upper respiratory infection': 1,
 'lyme disease': 41,
 'food allergy': 2,
 'systemic lupus erythematosus (sle)': 544,
 'guillain-barre syndrome': 4,
 'juvenile idiopathic arthritis (jia)': 42,
 'dermatomyositis': 62,
 'juvenile systemic sclerosis': 2,
 'vitamin c deficiency (scurvy)': 1,
 'henoch-schönlein purpura (hsp)': 1,
 'acute osteomyelitis': 1,
 'lupus': 29,
 'toxic epidermal necrolysis': 1,
 'allergic reaction or contact dermatitis': 1,
 'juvenile rheumatoid arthritis': 11,
 'fifth disease (parvovirus b19)': 1,
 'type 1 diabetes': 2,
 'juvenile diabetes (type 1)': 1,
 'rheumatic fever': 38,
 'esophageal stricture': 3,
 'duchenne muscular dystrophy': 4,
 'systemic sclerosis (scleroderma)': 1,
 'leukemia': 5,
 'rheumatoid arthritis': 21,
 'systemic juvenile idiopathic arthritis (sjia)': 1,
 'cystic fibrosis': 3,
 'porphyria': 3,
 'congenital heart disease': 5,
 'fifth disease (erythema infectiosum)': 1,
 'cutaneous porphyrias': 1,
 'malnutrition': 4,
 'dermatitis herpetiformis': 4,
 'ehlers-danlos syndrome': 6,
 'zinc deficiency': 1,
 'juvenile scleroderma': 3,
 'vasculitis': 3,
 'juvenile systemic lupus erythematosus': 4,
 'hypothyroidism': 49,
 "sjogren's syndrome": 4,
 'henoch-schönlein purpura': 9,
 'vitamin b12 deficiency': 1,
 'contact dermatitis': 2,
 'congestive heart failure': 1,
 'asthma': 7,
 'mononucleosis': 8,
 'acute lymphoblastic leukemia': 2,
 'eczema (atopic dermatitis)': 1,
 'streptococcal pharyngitis': 1,
 'streptococcal pharyngitis (strep throat)': 3,
 'allergic rhinitis': 1,
 'vitamin d deficiency': 11,
 'acute kidney injury': 1,
 'iron deficiency anemia': 10,
 'heart condition (such as congenital heart defect)': 1,
 'allergic reaction': 11,
 'lymphoma': 2,
 'systemic sclerosis': 4,
 'juvenile dermatomyositis': 726,
 'acute lymphoblastic leukemia (all)': 1,
 'eczema': 1,
 'lymphadenopathy': 1,
 'kawasaki disease': 268,
 'scleroderma': 2,
 'spinal muscular atrophy': 1,
 'systemic scleroderma': 2,
 'juvenile diabetes mellitus': 1,
 'acute rheumatic fever': 6,
 'myasthenia gravis': 1,
 'streptococcal infection': 4,
 'psoriasis': 1,
 'anemia': 9,
 'mitochondrial myopathy': 2,
 'coxsackievirus infection': 1,
 'juvenile hypothyroidism': 2,
 'juvenile arthritis': 1,
 'inflammatory bowel disease (ibd)': 2,
 'henoch-schonlein purpura': 6,
 'muscular dystrophy': 5,
 'systemic lupus erythematosus': 253,
 "raynaud's phenomenon": 28,
 'idiopathic thrombocytopenic purpura (itp)': 2,
 'juvenile idiopathic arthritis': 533,
 'systemic juvenile idiopathic arthritis': 3,
 'eosinophilic esophagitis': 67,
 'celiac disease': 21,
 'heart condition (such as congenital heart disease)': 1,
 'photosensitivity dermatitis': 1,
 'eosinophilic fasciitis': 5,
 'hand-foot-mouth disease': 3,
 'scarlet fever': 15,
 'influenza': 1,
 'juvenile lupus': 1,
 'henoch-schonlein purpura (hsp)': 3,
 'gastroesophageal reflux disease (gerd)': 2,
 'juvenile diabetes': 3,
 'hand, foot, and mouth disease': 10,
 'thyroid disorder': 1,
 'coeliac disease': 3,
 "raynaud's disease": 5}</t>
  </si>
  <si>
    <t xml:space="preserve">ChatGPT-3.5 Response: </t>
  </si>
  <si>
    <t>1. Juvenile Dermatomyositis, 70%, The patient presents with characteristic symptoms such as inability to sit up, tiredness, rash on eyelids, rosy cheeks, and red cuticles which are consistent with the diagnosis of Juvenile Dermatomyositis.
2. Hypothyroidism, 20%, Weight loss, tiredness, and rash on eyelids can be seen in hypothyroidism. Bumps on the neck can also be due to thyroid enlargement in some cases.
3. Systemic Lupus Erythematosus, 10%, The combination of rash on eyelids, rosy cheeks, red cuticles, and bumps on the neck can be seen in Systemic Lupus Erythematosus.
4. Kawasaki Disease, 5%, Rosy cheeks and red cuticles can be seen in Kawasaki Disease, along with other symptoms such as rash and neck lymphadenopathy.
5. Mononucleosis, 3%, Tiredness and bumps on the neck can be seen in Mononucleosis. Weight loss can also be a symptom in some cases.</t>
  </si>
  <si>
    <t>Claude-3-Sonnet Response:</t>
  </si>
  <si>
    <t>[('Juvenile Dermatomyositis',
  '60',
  ' The combination of rash on eyelids, rosy cheeks, red cuticles, and muscle weakness (inability to sit up) are characteristic symptoms of juvenile dermatomyositis, an autoimmune disorder affecting muscles and skin.'),
 ('Systemic Lupus Erythematosus (SLE)',
  '20',
  ' The rash, fatigue, and weight loss could be indicative of SLE, an autoimmune disorder that can affect multiple organ systems, including the skin and muscles.'),
 ('Juvenile Idiopathic Arthritis (JIA)',
  '10',
  ' The bumps on the neck could be swollen lymph nodes, which can occur in JIA, an autoimmune disorder affecting the joints and sometimes other organs.'),
 ('Kawasaki Disease',
  '5',
  ' The rash, red cuticles, and swollen lymph nodes (bumps on neck) are symptoms that can be seen in Kawasaki disease, a rare childhood illness that affects blood vessels.'),
 ('Leukemia',
  '5',
  ' The fatigue, weight loss, and swollen lymph nodes (bumps on neck) could potentially be signs of leukemia, a type of blood cancer, although the other symptoms are less specific.')]</t>
  </si>
  <si>
    <t>SLE</t>
  </si>
  <si>
    <t>The patient is a 10 year old female with a weight of 54 lbs and height of 46 inches. The list of symptoms include  (1) Fever (2) lumps in neck (3) Weight loss (4) Joint pain (5) Butterfly rash and (6) Psychosis.</t>
  </si>
  <si>
    <t>ChatGPT-3.5 Response:</t>
  </si>
  <si>
    <t>1. Systemic lupus erythematosus (SLE), 50%, The patient has a butterfly rash, joint pain, and fever which are classic symptoms of SLE. Weight loss and psychosis can also be seen in some cases of SLE.
2. Juvenile idiopathic arthritis, 20%, The patient presents with joint pain, fever, and weight loss which are common in juvenile idiopathic arthritis. The presence of lumps in the neck can also be seen in some cases.
3. Lymphoma, 15%, The lumps in the neck, weight loss, fever, and joint pain can be indicative of lymphoma. However, the butterfly rash and psychosis are less common in lymphoma.
4. Hyperthyroidism, 10%, Hyperthyroidism can present with weight loss, fever, and psychosis. The lumps in the neck can be due to thyroid enlargement. Joint pain and butterfly rash are less typical of hyperthyroidism.
5. Infectious mononucleosis, 5%, Fever, lumps in the neck, and weight loss can be present in infectious mononucleosis. However, the joint pain, butterfly rash, and psychosis are less commonly associated with this condition.</t>
  </si>
  <si>
    <t>Claude-Sonnet Response:</t>
  </si>
  <si>
    <t>[('Systemic Lupus Erythematosus (SLE)',
  '60',
  ' The presence of fever, butterfly rash, joint pain, and psychosis are characteristic symptoms of SLE, an autoimmune disorder that can affect multiple organ systems.'),
 ('Juvenile Idiopathic Arthritis (JIA)',
  '20',
  ' The joint pain and fever could be indicative of JIA, a type of arthritis that affects children, although the other symptoms are less typical.'),
 ('Lymphoma',
  '10',
  ' The presence of lumps in the neck, along with fever and weight loss, could suggest a form of lymphoma, a type of blood cancer.'),
 ('Juvenile Dermatomyositis',
  '5',
  ' The combination of fever, rash, and joint pain could potentially be due to juvenile dermatomyositis, an autoimmune condition affecting the muscles and skin.'),
 ('Kawasaki Disease',
  '5',
  ' The fever, lymphadenopathy (lumps in the neck), and rash could potentially be signs of Kawasaki disease, a rare childhood illness that affects the blood vessels.')]</t>
  </si>
  <si>
    <t>SLE as top diagnosis</t>
  </si>
  <si>
    <t>{'systemic lupus erythematosus': 63,
 'systemic lupus erythematosus (sle)': 131,
 'rheumatic fever': 1,
 'juvenile idiopathic arthritis (jia)': 1,
 'celiac disease': 1,
 'lupus': 1,
 'juvenile idiopathic arthritis': 49,
 'infectious mononucleosis': 1,
 'acute lymphoblastic leukemia': 1,
 'lymphoma': 1}</t>
  </si>
  <si>
    <t>SLE as top 3 diagnosis</t>
  </si>
  <si>
    <t>{"granulomatosis with polyangiitis (wegener's granulomatosis)": 1,
 'alopecia areata': 1,
 'systemic lupus erythematosus (sle)': 243,
 'leukemia': 1,
 'juvenile idiopathic arthritis (jia)': 4}</t>
  </si>
  <si>
    <t>Top 3 Diagnoses</t>
  </si>
  <si>
    <t>{'henoch-schönlein purpura': 3,
 'inflammatory bowel disease (ibd)': 19,
 "granulomatosis with polyangiitis (wegener's granulomatosis)": 1,
 'alopecia areata': 1,
 'kawasaki disease': 14,
 'systemic lupus erythematosus (sle)': 248,
 'rheumatic fever': 1,
 'henoch-schönlein purpura (hsp)': 29,
 'juvenile idiopathic arthritis': 3,
 'autoimmune hepatitis': 6,
 'viral hepatitis': 3,
 'juvenile dermatomyositis': 113,
 'lymphoma': 3,
 'chronic liver disease': 1,
 'acute rheumatic fever': 5,
 'juvenile idiopathic arthritis (jia)': 204,
 'mixed connective tissue disease (mctd)': 41,
 'mixed connective tissue disease': 1,
 'vasculitis': 37,
 'acute disseminated encephalomyelitis (adem)': 1,
 'acute lymphoblastic leukemia (all)': 8,
 'post-streptococcal glomerulonephritis': 1,
 'hemolytic uremic syndrome (hus)': 1,
 "wegener's granulomatosis": 1,
 'leukemia': 2,
 'cystic fibrosis': 1,
 'dermatomyositis': 2}</t>
  </si>
  <si>
    <t>{'inflammatory bowel disease (ibd)': 5,
 'acute liver failure': 1,
 'juvenile idiopathic pulmonary fibrosis': 1,
 'congestive heart failure (chf)': 1,
 'infective endocarditis': 1,
 'juvenile systemic lupus erythematosus': 6,
 'asthma': 3,
 'systemic lupus erythematosus (sle)': 503,
 'streptococcal infection': 8,
 'congenital heart disease': 7,
 'lymphadenopathy': 44,
 'anxiety disorder': 3,
 'rheumatic fever': 8,
 'familial mediterranean fever': 3,
 'juvenile idiopathic arthritis': 503,
 'systemic juvenile idiopathic arthritis (sjia)': 24,
 'viral infection': 6,
 'discoid lupus erythematosus': 4,
 'measles': 2,
 'lymphadenitis': 4,
 "hashimoto's thyroiditis": 5,
 'lupus erythematosus': 1,
 'viral infection (e.g., infectious mononucleosis)': 1,
 'systemic onset juvenile idiopathic arthritis (sojia)': 1,
 'acute glomerulonephritis': 26,
 'drug-induced liver injury': 1,
 'cat scratch fever (bartonella henselae infection)': 1,
 'tuberculosis (tb) lymphadenitis': 1,
 'aphthous stomatitis (canker sores)': 1,
 'acute pancreatitis': 3,
 'acute hepatitis': 2,
 'juvenile idiopathic arthritis (jia)': 176,
 'systemic lupus erythematosus (sle) with cns involvement': 1,
 'kidney infection': 1,
 'vasculitis': 1,
 'acute lymphoblastic leukemia (all)': 6,
 'granulomatosis with polyangiitis (gpa)': 15,
 'infection (such as bacterial or viral)': 1,
 'streptococcal infection (scarlet fever)': 1,
 'pneumonia': 3,
 'inflammatory myopathy': 1,
 "wegener's granulomatosis": 26,
 'leukemia': 30,
 "wilson's disease": 33,
 'autoimmune lymphoproliferative syndrome': 1,
 'henoch-schönlein purpura': 33,
 'lupus nephritis': 31,
 'juvenile rheumatoid arthritis': 9,
 'herpangina': 1,
 'vitamin deficiency (such as vitamin d or biotin)': 1,
 'hemophagocytic lymphohistiocytosis (hlh)': 1,
 'acute leukemia': 1,
 'peptic ulcer disease': 1,
 'tuberculosis lymphadenitis': 1,
 'coxsackievirus infection': 1,
 'hematuria': 5,
 'peritonitis (sterile)': 1,
 'pulmonary embolism': 1,
 'mucosal melanoma': 1,
 'infectious mononucleosis (epstein-barr virus)': 1,
 'mononucleosis': 17,
 "granulomatosis with polyangiitis (wegener's)": 1,
 'henoch-schonlein purpura': 32,
 'lymphoma': 43,
 'allergic reaction': 2,
 'juvenile lupus': 1,
 'acute poststreptococcal glomerulonephritis (apsgn)': 1,
 'appendicitis': 2,
 'systemic fungal infection': 1,
 'acute interstitial nephritis': 1,
 'cardiomyopathy': 1,
 'kidney disease (such as glomerulonephritis)': 2,
 'coeliac disease': 2,
 'acute rheumatic fever': 3,
 'hepatomegaly': 1,
 'acute poststreptococcal glomerulonephritis': 4,
 'acute lymphoblastic leukemia': 4,
 'hemolytic uremic syndrome (hus)': 7,
 'poststreptococcal glomerulonephritis': 9,
 'porphyria cutanea tarda': 1,
 'juvenile systemic lupus erythematosus (sle)': 1,
 'systemic lupus erythematosus': 414,
 'juvenile idiopathic epilepsy': 1,
 'allergic rhinitis': 1,
 'malaria': 2,
 'glomerulonephritis': 7,
 'acute viral hepatitis': 1,
 'infectious mononucleosis': 169,
 "hodgkin's lymphoma": 11,
 'gaucher disease': 1,
 'systemic onset juvenile idiopathic arthritis': 1,
 'hyperthyroidism': 17,
 'kawasaki disease': 176,
 'neurocysticercosis': 1,
 'hepatitis a': 3,
 'infection (such as pneumonia)': 1,
 'hepatitis c': 3,
 'juvenile autoimmune hepatitis': 1,
 'hemolytic-uremic syndrome (hus)': 2,
 'henoch-schonlein purpura (hsp)': 11,
 'pediatric migraine': 1,
 'hypothyroidism': 8,
 "systemic juvenile idiopathic arthritis (still's disease)": 5,
 'hepatitis': 18,
 'discoid lupus erythematosus (dle)': 1,
 'granulomatosis with polyangiitis': 15,
 'rheumatoid arthritis': 3,
 'autoimmune hepatitis': 30,
 'juvenile dermatomyositis': 33,
 'hand, foot, and mouth disease': 10,
 'porphyria': 14,
 'stevens-johnson syndrome': 2,
 'systemic scleroderma': 3,
 'wilms tumor': 1,
 'meningitis': 6,
 'tuberculosis (tb)': 1,
 'inflammatory bowel disease': 5,
 'juvenile systemic sclerosis': 8,
 'infection (e.g. viral or bacterial)': 1,
 'streptococcal pharyngitis': 1,
 'systemic sclerosis': 16,
 'strep throat': 3,
 'stevens-johnson syndrome (sjs)': 1,
 'influenza (flu)': 1,
 'nephrotic syndrome': 11,
 'gastroenteritis': 1,
 'iga vasculitis (henoch-schonlein purpura)': 1,
 'hemolytic uremic syndrome': 6,
 'systemic inflammatory response syndrome (sirs)': 1,
 'lyme disease': 4,
 'hematuria with fever syndrome': 1,
 'juvenile diabetes (type 1 diabetes)': 1,
 'iga nephropathy': 1,
 "sjogren's syndrome": 1,
 'juvenile diabetes': 2,
 'generalized anxiety disorder': 1,
 'erythropoietic protoporphyria': 1,
 'systemic jia-associated mas': 1,
 'sle (systemic lupus erythematosus)': 1,
 'systemic sclerosis (scleroderma)': 10,
 'infectious hepatitis': 1,
 'juvenile hypothyroidism': 1,
 'systemic vasculitis': 18,
 'systemic lupus erythematosus (sle) with lupus nephritis': 3,
 'idiopathic thrombocytopenic purpura (itp)': 3,
 'anxiety': 1,
 "inflammatory bowel disease (crohn's disease or ulcerative colitis)": 2,
 'epilepsy': 3,
 'systemic juvenile idiopathic arthritis': 25,
 'sarcoidosis': 1,
 "crohn's disease": 2,
 'henoch-schönlein purpura (hsp)': 21,
 'neurological disorder': 1,
 'tuberculosis': 24,
 'rocky mountain spotted fever': 1,
 'cat scratch disease': 3,
 'goodpasture syndrome': 2,
 'viral hepatitis': 20,
 'streptococcal pharyngitis (strep throat)': 2,
 'celiac disease': 20,
 'cancer (e.g. lymphoma)': 1,
 'lupus': 12,
 'acute lymphadenitis': 3,
 'kidney infection (pyelonephritis)': 2,
 'epstein-barr virus (ebv) infection': 3,
 'influenza': 5,
 'migraine': 4,
 'viral infection (such as infectious mononucleosis)': 4,
 'viral infection (such as epstein-barr virus)': 2,
 'acute pyelonephritis': 2,
 'lung disease': 1,
 'viral myositis': 1,
 'acute intermittent porphyria': 4,
 'urinary tract infection': 1,
 'strep throat with scarlet fever': 1,
 'urinary tract infection (uti)': 4,
 'acute disseminated encephalomyelitis (adem)': 2,
 'infection (such as viral or bacterial)': 1,
 'infection (such as infectious mononucleosis)': 1,
 'congenital hepatic fibrosis': 1,
 "behcet's disease": 4,
 'hemolytic anemia': 2,
 'scarlet fever': 5,
 'acute porphyria': 1,
 'pancreatitis': 1,
 'autoimmune pancreatitis': 1,
 'cystic fibrosis': 6,
 'zinc deficiency': 1,
 'vitamin d deficiency': 1,
 'cat scratch fever': 1,
 'dermatomyositis': 6,
 'post-infectious glomerulonephritis': 1}</t>
  </si>
  <si>
    <t>SLE  as top Diagnosis</t>
  </si>
  <si>
    <t>SLE  as top 3 Diagnosis</t>
  </si>
  <si>
    <t>{'juvenile hypothyroidism': 1,
 'juvenile rheumatoid arthritis': 3,
 "hodgkin's lymphoma": 4,
 'hyperthyroidism': 1,
 'juvenile systemic lupus erythematosus': 2,
 'kawasaki disease': 7,
 'systemic lupus erythematosus (sle)': 289,
 'streptococcal infection': 1,
 'congenital heart disease': 1,
 'lymphadenopathy': 5,
 'rheumatic fever': 1,
 'familial mediterranean fever': 1,
 "crohn's disease": 1,
 'juvenile idiopathic arthritis': 216,
 'juvenile autoimmune hepatitis': 1,
 'viral infection': 2,
 'lymphadenitis': 2,
 'autoimmune hepatitis': 1,
 'viral hepatitis': 2,
 'infectious mononucleosis': 23,
 'porphyria': 5,
 'hand, foot, and mouth disease': 3,
 'juvenile dermatomyositis': 1,
 'celiac disease': 1,
 'lymphoma': 11,
 'acute lymphadenitis': 2,
 'lupus': 6,
 'acute glomerulonephritis': 1,
 'influenza': 1,
 'acute pyelonephritis': 1,
 'juvenile idiopathic arthritis (jia)': 1,
 'urinary tract infection (uti)': 2,
 'hemolytic uremic syndrome': 1,
 'poststreptococcal glomerulonephritis': 2,
 'systemic lupus erythematosus': 384,
 'scarlet fever': 4,
 "wegener's granulomatosis": 1,
 'juvenile diabetes': 1,
 'leukemia': 2,
 'pancreatitis': 1,
 'cystic fibrosis': 1,
 'acute viral hepatitis': 1,
 "wilson's disease": 2}</t>
  </si>
  <si>
    <t>"{'inflammatory bowel disease (ibd)': 5,
 'acute liver failure': 1,
 'juvenile idiopathic pulmonary fibrosis': 1,
 'congestive heart failure (chf)': 1,
 'infective endocarditis': 1,
 'juvenile systemic lupus erythematosus': 6,
 'asthma': 3,
 'systemic lupus erythematosus (sle)': 503,
 'streptococcal infection': 8,
 'congenital heart disease': 7,
 'lymphadenopathy': 44,
 'anxiety disorder': 3,
 'rheumatic fever': 8,
 'familial mediterranean fever': 3,
 'juvenile idiopathic arthritis': 503,
 'systemic juvenile idiopathic arthritis (sjia)': 24,
 'viral infection': 6,
 'discoid lupus erythematosus': 4,
 'measles': 2,
 'lymphadenitis': 4,
 ""hashimoto's thyroiditis"": 5,
 'lupus erythematosus': 1,
 'viral infection (e.g., infectious mononucleosis)': 1,
 'systemic onset juvenile idiopathic arthritis (sojia)': 1,
 'acute glomerulonephritis': 26,
 'drug-induced liver injury': 1,
 'cat scratch fever (bartonella henselae infection)': 1,
 'tuberculosis (tb) lymphadenitis': 1,
 'aphthous stomatitis (canker sores)': 1,
 'acute pancreatitis': 3,
 'acute hepatitis': 2,
 'juvenile idiopathic arthritis (jia)': 176,
 'systemic lupus erythematosus (sle) with cns involvement': 1,
 'kidney infection': 1,
 'vasculitis': 1,
 'acute lymphoblastic leukemia (all)': 6,
 'granulomatosis with polyangiitis (gpa)': 15,
 'infection (such as bacterial or viral)': 1,
 'streptococcal infection (scarlet fever)': 1,
 'pneumonia': 3,
 'inflammatory myopathy': 1,
 ""wegener's granulomatosis"": 26,
 'leukemia': 30,
 ""wilson's disease"": 33,
 'autoimmune lymphoproliferative syndrome': 1,
 'henoch-schönlein purpura': 33,
 'lupus nephritis': 31,
 'juvenile rheumatoid arthritis': 9,
 'herpangina': 1,
 'vitamin deficiency (such as vitamin d or biotin)': 1,
 'hemophagocytic lymphohistiocytosis (hlh)': 1,
 'acute leukemia': 1,
 'peptic ulcer disease': 1,
 'tuberculosis lymphadenitis': 1,
 'coxsackievirus infection': 1,
 'hematuria': 5,
 'peritonitis (sterile)': 1,
 'pulmonary embolism': 1,
 'mucosal melanoma': 1,
 'infectious mononucleosis (epstein-barr virus)': 1,
 'mononucleosis': 17,
 ""granulomatosis with polyangiitis (wegener's)"": 1,
 'henoch-schonlein purpura': 32,
 'lymphoma': 43,
 'allergic reaction': 2,
 'juvenile lupus': 1,
 'acute poststreptococcal glomerulonephritis (apsgn)': 1,
 'appendicitis': 2,
 'systemic fungal infection': 1,
 'acute interstitial nephritis': 1,
 'cardiomyopathy': 1,
 'kidney disease (such as glomerulonephritis)': 2,
 'coeliac disease': 2,
 'acute rheumatic fever': 3,
 'hepatomegaly': 1,
 'acute poststreptococcal glomerulonephritis': 4,
 'acute lymphoblastic leukemia': 4,
 'hemolytic uremic syndrome (hus)': 7,
 'poststreptococcal glomerulonephritis': 9,
 'porphyria cutanea tarda': 1,
 'juvenile systemic lupus erythematosus (sle)': 1,
 'systemic lupus erythematosus': 414,
 'juvenile idiopathic epilepsy': 1,
 'allergic rhinitis': 1,
 'malaria': 2,
 'glomerulonephritis': 7,
 'acute viral hepatitis': 1,
 'infectious mononucleosis': 169,
 ""hodgkin's lymphoma"": 11,
 'gaucher disease': 1,
 'systemic onset juvenile idiopathic arthritis': 1,
 'hyperthyroidism': 17,
 'kawasaki disease': 176,
 'neurocysticercosis': 1,
 'hepatitis a': 3,
 'infection (such as pneumonia)': 1,
 'hepatitis c': 3,
 'juvenile autoimmune hepatitis': 1,
 'hemolytic-uremic syndrome (hus)': 2,
 'henoch-schonlein purpura (hsp)': 11,
 'pediatric migraine': 1,
 'hypothyroidism': 8,
 ""systemic juvenile idiopathic arthritis (still's disease)"": 5,
 'hepatitis': 18,
 'discoid lupus erythematosus (dle)': 1,
 'granulomatosis with polyangiitis': 15,
 'rheumatoid arthritis': 3,
 'autoimmune hepatitis': 30,
 'juvenile dermatomyositis': 33,
 'hand, foot, and mouth disease': 10,
 'porphyria': 14,
 'stevens-johnson syndrome': 2,
 'systemic scleroderma': 3,
 'wilms tumor': 1,
 'meningitis': 6,
 'tuberculosis (tb)': 1,
 'inflammatory bowel disease': 5,
 'juvenile systemic sclerosis': 8,
 'infection (e.g. viral or bacterial)': 1,
 'streptococcal pharyngitis': 1,
 'systemic sclerosis': 16,
 'strep throat': 3,
 'stevens-johnson syndrome (sjs)': 1,
 'influenza (flu)': 1,
 'nephrotic syndrome': 11,
 'gastroenteritis': 1,
 'iga vasculitis (henoch-schonlein purpura)': 1,
 'hemolytic uremic syndrome': 6,
 'systemic inflammatory response syndrome (sirs)': 1,
 'lyme disease': 4,
 'hematuria with fever syndrome': 1,
 'juvenile diabetes (type 1 diabetes)': 1,
 'iga nephropathy': 1,
 ""sjogren's syndrome"": 1,
 'juvenile diabetes': 2,
 'generalized anxiety disorder': 1,
 'erythropoietic protoporphyria': 1,
 'systemic jia-associated mas': 1,
 'sle (systemic lupus erythematosus)': 1,
 'systemic sclerosis (scleroderma)': 10,
 'infectious hepatitis': 1,
 'juvenile hypothyroidism': 1,
 'systemic vasculitis': 18,
 'systemic lupus erythematosus (sle) with lupus nephritis': 3,
 'idiopathic thrombocytopenic purpura (itp)': 3,
 'anxiety': 1,
 ""inflammatory bowel disease (crohn's disease or ulcerative colitis)"": 2,
 'epilepsy': 3,
 'systemic juvenile idiopathic arthritis': 25,
 'sarcoidosis': 1,
 ""crohn's disease"": 2,
 'henoch-schönlein purpura (hsp)': 21,
 'neurological disorder': 1,
 'tuberculosis': 24,
 'rocky mountain spotted fever': 1,
 'cat scratch disease': 3,
 'goodpasture syndrome': 2,
 'viral hepatitis': 20,
 'streptococcal pharyngitis (strep throat)': 2,
 'celiac disease': 20,
 'cancer (e.g. lymphoma)': 1,
 'lupus': 12,
 'acute lymphadenitis': 3,
 'kidney infection (pyelonephritis)': 2,
 'epstein-barr virus (ebv) infection': 3,
 'influenza': 5,
 'migraine': 4,
 'viral infection (such as infectious mononucleosis)': 4,
 'viral infection (such as epstein-barr virus)': 2,
 'acute pyelonephritis': 2,
 'lung disease': 1,
 'viral myositis': 1,
 'acute intermittent porphyria': 4,
 'urinary tract infection': 1,
 'strep throat with scarlet fever': 1,
 'urinary tract infection (uti)': 4,
 'acute disseminated encephalomyelitis (adem)': 2,
 'infection (such as viral or bacterial)': 1,
 'infection (such as infectious mononucleosis)': 1,
 'congenital hepatic fibrosis': 1,
 ""behcet's disease"": 4,
 'hemolytic anemia': 2,
 'scarlet fever': 5,
 'acute porphyria': 1,
 'pancreatitis': 1,
 'autoimmune pancreatitis': 1,
 'cystic fibrosis': 6,
 'zinc deficiency': 1,
 'vitamin d deficiency': 1,
 'cat scratch fever': 1,
 'dermatomyositis': 6,
 'post-infectious glomerulonephritis': 1}"</t>
  </si>
  <si>
    <t>{'lupus nephritis': 3,
 "granulomatosis with polyangiitis (wegener's granulomatosis)": 3,
 'kawasaki disease': 5,
 'glycogen storage disease': 1,
 'systemic lupus erythematosus (sle)': 833,
 'lymphadenopathy': 1,
 "crohn's disease": 3,
 'henoch-schönlein purpura (hsp)': 6,
 'systemic juvenile idiopathic arthritis (sjia)': 1,
 'tuberculosis': 2,
 'lupus (systemic lupus erythematosus)': 4,
 'viral hepatitis': 1,
 'lupus erythematosus (systemic lupus erythematosus)': 1,
 'juvenile dermatomyositis': 1,
 'porphyria': 1,
 'celiac disease': 3,
 'lymphoma': 38,
 'lupus': 1,
 'viral infection (e.g., mononucleosis, cytomegalovirus)': 1,
 'juvenile idiopathic arthritis (jia)': 77,
 'urinary tract infection (uti)': 1,
 'acute lymphoblastic leukemia (all)': 1,
 'viral infection (e.g., influenza, common cold)': 2,
 'pneumonia': 1,
 'lupus erythematosus (systemic lupus erythematosus or sle)': 1,
 'aphthous ulcers (canker sores)': 1,
 'leukemia': 6,
 'acute viral hepatitis': 1}</t>
  </si>
  <si>
    <t>{'inflammatory bowel disease (ibd)': 37,
 'asthma': 2,
 'systemic lupus erythematosus (sle)': 917,
 'bacterial infection (e.g., streptococcal pharyngitis, pneumonia)': 1,
 'lymphadenopathy': 1,
 'rheumatic fever': 5,
 'juvenile idiopathic arthritis': 28,
 'systemic juvenile idiopathic arthritis (sjia)': 1,
 'viral infection': 2,
 'polymorphous light eruption': 1,
 'measles': 1,
 'bacterial infection (e.g., streptococcal pharyngitis, urinary tract infection)': 1,
 'lupus erythematosus': 1,
 'viral infection (e.g., epstein-barr virus, cytomegalovirus)': 1,
 'photosensitive drug reaction': 1,
 'hand, foot, and mouth disease (hfmd)': 1,
 'autoimmune disorder (e.g., lupus)': 1,
 'acute glomerulonephritis': 23,
 'photosensitive dermatitis': 1,
 'rheumatoid arthritis (ra)': 1,
 'ulcerative colitis': 2,
 'acute pancreatitis': 2,
 'acute hepatitis': 3,
 'juvenile idiopathic arthritis (jia)': 697,
 'vasculitis': 43,
 'autoimmune disorders': 1,
 'acute lymphoblastic leukemia (all)': 68,
 'granulomatosis with polyangiitis (gpa)': 8,
 'antiphospholipid antibody syndrome': 1,
 'pneumonia': 2,
 "wegener's granulomatosis": 25,
 'leukemia': 88,
 "wilson's disease": 6,
 'henoch-schönlein purpura': 16,
 'lupus nephritis': 14,
 'juvenile rheumatoid arthritis': 2,
 'hemophagocytic lymphohistiocytosis (hlh)': 2,
 'acute leukemia': 4,
 'autoimmune lymphoproliferative syndrome (alps)': 1,
 'mononucleosis': 1,
 'growing pains': 1,
 'lymphoma': 172,
 'atopic dermatitis (eczema)': 1,
 'leukemia (e.g., acute lymphoblastic leukemia)': 1,
 'acute rheumatic fever': 5,
 'acute lymphoblastic leukemia': 4,
 'familial mediterranean fever (fmf)': 1,
 'hemolytic uremic syndrome (hus)': 4,
 'systemic lupus erythematosus': 1,
 'viral infection (e.g., influenza, adenovirus)': 1,
 'aphthous ulcers (canker sores)': 1,
 'allergic rhinitis': 1,
 'glomerulonephritis': 2,
 'erythema multiforme': 1,
 'acute viral hepatitis': 1,
 'infectious mononucleosis': 3,
 'lupus erythematosus (systemic lupus erythematosus)': 1,
 "granulomatosis with polyangiitis (wegener's granulomatosis)": 3,
 'hyperthyroidism': 1,
 'kawasaki disease': 47,
 'glycogen storage disease': 1,
 'antiphospholipid syndrome': 1,
 'viral exanthem (viral rash)': 1,
 'viral infection (e.g., mononucleosis, measles)': 1,
 'rheumatoid arthritis': 3,
 'lupus (systemic lupus erythematosus)': 4,
 'autoimmune hepatitis': 46,
 'anemia': 1,
 'juvenile dermatomyositis': 278,
 'stevens-johnson syndrome': 1,
 'porphyria': 1,
 'thyroid disorder': 1,
 'viral infection (e.g., mononucleosis, cytomegalovirus)': 1,
 'lactose intolerance': 1,
 'stevens-johnson syndrome (sjs)': 2,
 'nephrotic syndrome': 2,
 'mixed connective tissue disease (mctd)': 53,
 'gastroenteritis': 1,
 'mixed connective tissue disease': 12,
 'autoimmune disorder (e.g., systemic lupus erythematosus)': 5,
 "granulomatosis with polyangiitis (gpa, formerly wegener's granulomatosis)": 1,
 'herpes simplex virus (hsv) infection': 1,
 'infectious mononucleosis (mono)': 1,
 'idiopathic thrombocytopenic purpura (itp)': 1,
 'viral infection (e.g., measles, rubella)': 2,
 'sarcoidosis': 5,
 "crohn's disease": 6,
 'henoch-schönlein purpura (hsp)': 203,
 'tuberculosis': 6,
 "goodpasture's syndrome": 1,
 'kidney disease': 1,
 'autoimmune disorder': 5,
 'viral hepatitis': 18,
 'streptococcal pharyngitis (strep throat)': 1,
 'kidney stones': 1,
 'celiac disease': 14,
 'lupus': 14,
 'viral exanthem (e.g., measles, roseola)': 1,
 'kidney infection (pyelonephritis)': 1,
 'viral myositis': 1,
 'urinary tract infection (uti)': 1,
 'acute disseminated encephalomyelitis (adem)': 1,
 'post-streptococcal glomerulonephritis': 6,
 'hemolytic anemia': 3,
 'lupus erythematosus (systemic lupus erythematosus or sle)': 1,
 'scarlet fever': 1,
 'pancreatitis': 1,
 'vitamin d deficiency': 1,
 'dermatomyositis': 18,
 'viral infection (e.g., influenza, common cold)': 2}
1
​</t>
  </si>
  <si>
    <t>Systemic Sclerosis</t>
  </si>
  <si>
    <t>Systemic Sclerosis  as Top Diagnosis</t>
  </si>
  <si>
    <t>Systemic Sclerosis  in Top 3 diagnoses</t>
  </si>
  <si>
    <t>Systemic Sclerosis as top Diagnosis</t>
  </si>
  <si>
    <t>Systemic Sclerosis  as top 3 Diagnosis</t>
  </si>
  <si>
    <t>The patient is a 10 year old female with a weight of 54 lbs and height of 46 inches. The list of symptoms include  (1) Hard skin (2) Cold hands and (3) Musculoskeletal pain.</t>
  </si>
  <si>
    <t>1. Juvenile idiopathic arthritis, 60%, The patient presents with musculoskeletal pain which is a common symptom of juvenile idiopathic arthritis.  
2. Scleroderma, 20%, Hard skin is a characteristic feature of scleroderma and the patient's presentation is consistent with this condition.  
3. Raynaud's disease, 10%, Cold hands are a common symptom of Raynaud's disease which causes vasospasms in the blood vessels.  
4. Hypothyroidism, 5%, Hypothyroidism can present with musculoskeletal pain and cold intolerance, which may manifest as cold hands in the patient.  
5. Fibromyalgia, 5%, Musculoskeletal pain is a key symptom of fibromyalgia, which could explain the patient's presentation.</t>
  </si>
  <si>
    <t>[('Scleroderma',
  '40',
  ' Hard skin and musculoskeletal pain are common symptoms of scleroderma, an autoimmune disorder that causes hardening and tightening of the skin and connective tissues.'),
 ("Raynaud's phenomenon",
  '30',
  " Cold hands and musculoskeletal pain can be associated with Raynaud's phenomenon, a condition that causes decreased blood flow to the extremities, often triggered by cold temperatures or stress."),
 ('Juvenile idiopathic arthritis',
  '20',
  ' Musculoskeletal pain can be a symptom of juvenile idiopathic arthritis, an autoimmune disorder that causes joint inflammation and stiffness in children.'),
 ('Dermatomyositis',
  '15',
  ' Hard skin and musculoskeletal pain can be symptoms of dermatomyositis, an inflammatory condition that affects the skin and muscles.'),
 ('Mixed connective tissue disease',
  '10',
  ' The combination of hard skin, cold hands, and musculoskeletal pain can be seen in mixed connective tissue disease, an autoimmune disorder that shares features of several connective tissue diseases.')]</t>
  </si>
  <si>
    <t>{'juvenile idiopathic arthritis': 35,
 'juvenile systemic sclerosis': 119,
 '**juvenile systemic sclerosis**': 1,
 'esophageal disorders': 2,
 'juvenile idiopathic arthritis (jia)': 2,
 'systemic lupus erythematosus (sle)': 1,
 'juvenile dermatomyositis': 46,
 'juvenile systemic scleroderma': 1,
 'systemic sclerosis': 38,
 'systemic sclerosis (scleroderma)': 3}</t>
  </si>
  <si>
    <t>{'scleroderma': 29,
 'juvenile idiopathic arthritis': 92,
 "sjogren's syndrome": 1,
 'lupus': 13,
 'rheumatic fever': 2,
 'polymyositis': 1,
 '**ehlers-danlos syndrome**': 1,
 'eosinophilic esophagitis': 6,
 'lipodystrophy': 1,
 'asthma exacerbation': 1,
 'systemic sclerosis': 62,
 'systemic sclerosis (scleroderma)': 37,
 '**juvenile systemic sclerosis**': 1,
 'cystic fibrosis': 3,
 'mixed connective tissue disease': 17,
 'mixed connective tissue disease (mctd)': 12,
 'congenital myopathies': 1,
 'ehlers-danlos syndrome': 50,
 'progressive systemic sclerosis': 1,
 'esophageal disorders': 2,
 'morphea': 1,
 'lupus erythematosus': 1,
 'juvenile systemic scleroderma': 1,
 'crest syndrome': 1,
 'muscular dystrophy': 5,
 'hypoparathyroidism': 3,
 'interstitial lung disease': 1,
 'systemic lupus erythematosus': 25,
 'idiopathic pulmonary fibrosis': 4,
 'dermatomyositis': 4,
 'juvenile systemic sclerosis': 122,
 'esophageal motility disorders': 1,
 '**dermatomyositis**': 1,
 'eosinophilic fasciitis': 8,
 'cerebral palsy': 1,
 'asthma': 4,
 'systemic lupus erythematosus (sle)': 34,
 'juvenile idiopathic arthritis (jia)': 4,
 'juvenile dermatomyositis': 165,
 'lyme disease': 3,
 'juvenile systemic lupus erythematosus': 2,
 'hypothyroidism': 11,
 'pulmonary hypertension': 3,
 'juvenile localized scleroderma': 1,
 'progressive systemic scleroderma': 1,
 'congenital heart disease': 2,
 'idiopathic juvenile arthritis': 1,
 'duchenne muscular dystrophy': 1}</t>
  </si>
  <si>
    <t>{'scleroderma': 77,
 'juvenile idiopathic arthritis': 248,
 'esophageal stricture': 9,
 'lipoma': 5,
 'eosinophilic esophagitis': 16,
 'systemic sclerosis': 38,
 'systemic sclerosis (scleroderma)': 2,
 'cystic fibrosis': 1,
 'marfan syndrome': 1,
 'ehlers-danlos syndrome': 9,
 'iron-deficiency anemia': 1,
 'iron deficiency anemia': 1,
 'juvenile localized scleroderma (morphea)': 1,
 'juvenile systemic sclerosis': 105,
 "cushing's syndrome": 13,
 'asthma': 2,
 'epidermolysis bullosa': 1,
 'juvenile dermatomyositis': 69,
 'juvenile idiopathic arthritis (jia)': 2,
 'juvenile hypothyroidism': 1,
 "raynaud's disease": 58,
 'hyperthyroidism': 5,
 'juvenile rheumatoid arthritis': 2,
 'esophageal strictures': 1,
 "raynaud's phenomenon": 300,
 'muscle strain': 1,
 'hypothyroidism': 18}</t>
  </si>
  <si>
    <t>{'juvenile idiopathic arthritis': 482,
 'esophagitis': 1,
 'heart condition (such as congenital heart disease)': 1,
 'polymyositis': 2,
 'esophageal stricture': 35,
 'dermatofibroma': 3,
 "reynaud's phenomenon": 2,
 'eosinophilic esophagitis': 75,
 'anxiety': 1,
 'systemic sclerosis': 147,
 'osteoarthritis': 1,
 'iron-deficiency anemia': 1,
 'iron deficiency anemia': 3,
 'hypoparathyroidism': 1,
 'rheumatoid nodules': 1,
 'gastroesophageal reflux disease (gerd)': 10,
 'eosinophilic fasciitis': 10,
 'epidermolysis bullosa': 1,
 'influenza': 3,
 'juvenile hypothyroidism': 1,
 "raynaud's disease": 123,
 'juvenile rheumatoid arthritis': 9,
 'anemia': 16,
 'scleroderma': 291,
 'esophageal dysmotility': 1,
 "sjogren's syndrome": 1,
 'lipoma': 6,
 'exercise-induced asthma': 1,
 'systemic sclerosis (scleroderma)': 139,
 'cystic fibrosis': 7,
 'inflammatory myopathy': 1,
 'angioedema': 1,
 'pneumonia': 1,
 'fibromyalgia': 9,
 'steatocystoma multiplex': 3,
 'growing pains': 3,
 "cushing's syndrome": 14,
 'asthma': 37,
 'systemic lupus erythematosus (sle)': 128,
 'cutaneous lupus erythematosus': 1,
 'juvenile dermatomyositis': 184,
 'lichen sclerosis': 1,
 'hyperthyroidism': 6,
 'esophageal strictures': 1,
 'muscle strain': 1,
 "raynaud's phenomenon": 513,
 'pulmonary hypertension': 7,
 'viral myositis': 2,
 'dermatofibromas': 1,
 'peripheral vascular disease': 21,
 'lupus': 15,
 'rheumatic fever': 7,
 'juvenile scleroderma': 3,
 'marfan syndrome': 2,
 'hypothermia': 4,
 'morphea': 1,
 'juvenile localized scleroderma (morphea)': 1,
 'myositis': 1,
 'leukemia': 1,
 "dupuytren's contracture": 1,
 'viral infection (such as influenza)': 1,
 'interstitial lung disease': 2,
 'osteosarcoma': 1,
 'dermatomyositis': 26,
 'anorexia nervosa': 2,
 'juvenile idiopathic arthritis (jia)': 13,
 'esophageal dysphagia': 5,
 'malnutrition': 14,
 'lichen sclerosus': 4,
 'hypothyroidism': 266,
 'congenital heart disease': 10,
 'ectodermal dysplasia': 1,
 'osteogenesis imperfecta': 1,
 'xanthoma': 1,
 'viral infection': 1,
 'lipodystrophy': 1,
 'asthma exacerbation': 1,
 'lichen planus': 2,
 'eczema': 3,
 'ehlers-danlos syndrome': 40,
 'rheumatoid arthritis': 9,
 'cyanotic heart disease': 1,
 'dermatofibrosarcoma protuberans': 1,
 'crest syndrome': 2,
 'pachydermoperiostosis (primary hypertrophic osteoarthropathy)': 1,
 'xanthelasma': 1,
 'systemic lupus erythematosus': 38,
 'exercise-induced bronchoconstriction': 1,
 'juvenile systemic sclerosis': 111,
 'lyme disease': 1,
 'achalasia': 7,
 'juvenile systemic lupus erythematosus': 5,
 'juvenile fibromyalgia': 1,
 'peripheral artery disease': 2,
 'frostbite': 7,
 'xanthomas': 1,
 'psoriasis': 4}</t>
  </si>
  <si>
    <t>{'scleroderma': 1,
 'arthrogryposis multiplex congenita (amc)': 4,
 'systemic lupus erythematosus (sle)': 5,
 'celiac disease': 1,
 'juvenile idiopathic arthritis (jia)': 9,
 'juvenile dermatomyositis': 10,
 'systemic sclerosis (scleroderma)': 220}</t>
  </si>
  <si>
    <t>{'scleroderma': 10,
 'juvenile idiopathic arthritis': 3,
 'lupus': 1,
 'viral arthritis': 2,
 'morphea (localized scleroderma)': 26,
 'eosinophilic esophagitis': 2,
 'lactose intolerance': 1,
 'systemic sclerosis (scleroderma)': 225,
 'mixed connective tissue disease': 22,
 'mixed connective tissue disease (mctd)': 214,
 'arthrogryposis multiplex congenita (amc)': 4,
 'muscular dystrophy': 5,
 'inflammatory bowel disease (ibd)': 1,
 'dermatomyositis': 57,
 'growing pains': 2,
 'cerebral palsy': 4,
 'eosinophilic fasciitis': 3,
 'systemic lupus erythematosus (sle)': 15,
 'celiac disease': 1,
 'juvenile idiopathic arthritis (jia)': 48,
 'juvenile dermatomyositis': 104}</t>
  </si>
  <si>
    <t>{'scleroderma': 154,
 'esophageal stricture': 2,
 'lipoma': 2,
 'eosinophilic esophagitis': 10,
 'juvenile rheumatoid arthritis (jra)': 1,
 'systemic scleroderma (diffuse cutaneous systemic sclerosis)': 26,
 'keratosis pilaris': 22,
 'systemic sclerosis (scleroderma)': 35,
 'diabetes mellitus': 1,
 'cystic fibrosis': 4,
 'lichen planus': 2,
 'eczema': 5,
 'atopic dermatitis (eczema)': 4,
 'dermatomyositis': 41,
 'growing pains': 7,
 'ichthyosis': 2,
 'asthma': 2,
 'systemic lupus erythematosus (sle)': 2,
 'celiac disease': 11,
 'juvenile idiopathic arthritis (jia)': 169,
 'juvenile dermatomyositis': 46,
 'neurofibromatosis type 1 (nf1)': 4,
 'achalasia': 9,
 "raynaud's phenomenon": 388,
 'hypothyroidism': 47,
 'viral myositis': 1,
 'congenital heart disease': 1,
 'anemia': 2}</t>
  </si>
  <si>
    <t>MCTD</t>
  </si>
  <si>
    <t>MCTD  as Top Diagnosis</t>
  </si>
  <si>
    <t>MCTD  in Top 3 diagnoses</t>
  </si>
  <si>
    <t>MCTD  as top Diagnosis</t>
  </si>
  <si>
    <t>MCTD  as top 3 Diagnosis</t>
  </si>
  <si>
    <t>The patient is a 10 year old female with a weight of 54 lbs and height of 46 inches. The list of symptoms include  (1) Joint stiffness (2) Fingers turning white (3) Hard skin (4) Rash on cheeks (5) Hand rash (6) Fever (7) Chest pain and (8) Abnormal lung  diffusion.</t>
  </si>
  <si>
    <t>1. Juvenile Idiopathic Arthritis, 50%, Joint stiffness, fever, and hand rash are common symptoms of Juvenile Idiopathic Arthritis in children.
2. Systemic Lupus Erythematosus (SLE), 30%, Rash on cheeks (malar rash), joint stiffness, and abnormal lung diffusion can be seen in patients with SLE.
3. Systemic Sclerosis (Scleroderma), 15%, Hard skin, fingers turning white (Raynaud's phenomenon), and chest pain are consistent with systemic sclerosis.
4. Kawasaki Disease, 5%, Fever, rash on cheeks, and abnormal lung diffusion can be present in Kawasaki disease.
5. Rheumatic Fever, 5%, Joint stiffness, fever, and chest pain can be symptoms of Rheumatic Fever in children.</t>
  </si>
  <si>
    <t>[('Systemic Lupus Erythematosus (SLE)',
  '40',
  ' The combination of joint stiffness, rash on cheeks (malar rash), fever, and chest pain are common symptoms of SLE, an autoimmune disorder that can affect multiple organ systems.'),
 ('Juvenile Idiopathic Arthritis (JIA)',
  '30',
  ' Joint stiffness, fever, and rash on the hands are common manifestations of JIA, a type of arthritis that occurs in children.'),
 ("Raynaud's Phenomenon",
  '20',
  " The symptom of fingers turning white could be indicative of Raynaud's phenomenon, a condition characterized by reduced blood flow to the extremities due to vasospasm."),
 ('Scleroderma',
  '15',
  " The hard skin and Raynaud's phenomenon could suggest scleroderma, an autoimmune disorder that causes skin thickening and vasculopathy."),
 ('Interstitial Lung Disease',
  '10',
  ' The abnormal lung diffusion and chest pain could be indicative of an underlying interstitial lung disease, which can be associated with autoimmune disorders like SLE or scleroderma.')]</t>
  </si>
  <si>
    <t>ChatGPT 3.5</t>
  </si>
  <si>
    <t>Claude Sonnet</t>
  </si>
  <si>
    <t>{'juvenile systemic lupus erythematosus': 1,
 'systemic lupus erythematosus': 1,
 'systemic lupus erythematosus (sle)': 4,
 'juvenile dermatomyositis': 34,
 'juvenile systemic sclerosis': 6,
 'juvenile idiopathic arthritis': 202,
 'juvenile idiopathic arthritis (jia)': 2}</t>
  </si>
  <si>
    <t>{'eosinophilic esophagitis': 3,
 "raynaud's phenomenon": 1,
 'scleroderma': 6,
 'duchenne muscular dystrophy': 5,
 'pulmonary hypertension': 1,
 'lupus nephritis': 1,
 'juvenile idiopathic arthritis (jia)': 5,
 'rheumatoid arthritis': 1,
 "juvenile sjögren's syndrome": 1,
 'rheumatic heart disease': 1,
 'juvenile rheumatoid arthritis': 2,
 'neurological disorder (e.g., multiple sclerosis)': 1,
 'systemic lupus erythematosus': 94,
 'juvenile dermatomyositis': 128,
 'systemic sclerosis': 66,
 'inflammatory myopathy': 1,
 'lupus': 4,
 'juvenile systemic lupus erythematosus': 7,
 'mixed connective tissue disease': 7,
 'systemic lupus erythematosus (sle)': 98,
 'juvenile myositis': 1,
 'esophageal dysmotility disorders': 1,
 'juvenile systemic sclerosis': 12,
 'rheumatic fever': 4,
 'juvenile idiopathic arthritis': 211,
 'muscular dystrophy': 2,
 'systemic juvenile idiopathic arthritis': 2,
 'dermatomyositis': 22,
 'idiopathic pulmonary fibrosis': 1,
 'juvenile systemic sclerosis (juvenile scleroderma)': 1,
 'mixed connective tissue disease (mctd)': 3,
 'systemic sclerosis (scleroderma)': 51,
 "sjogren's syndrome": 6}</t>
  </si>
  <si>
    <t>{"raynaud's disease": 6,
 "raynaud's phenomenon": 26,
 'eosinophilic esophagitis': 2,
 'tetralogy of fallot': 1,
 'juvenile idiopathic arthritis (jia)': 1,
 'juvenile rheumatoid arthritis': 9,
 'systemic lupus erythematosus': 99,
 'esophageal dysmotility': 1,
 'juvenile dermatomyositis': 17,
 'systemic sclerosis': 42,
 'esophageal stricture': 1,
 'systemic lupus erythematosus (sle)': 40,
 'cystic fibrosis': 2,
 'juvenile systemic sclerosis': 28,
 'rheumatic fever': 5,
 'juvenile idiopathic arthritis': 708,
 'viral infection': 4,
 'kawasaki disease': 4,
 'renal disease': 1,
 'systemic sclerosis (scleroderma)': 3}</t>
  </si>
  <si>
    <t>{"raynaud's disease": 40,
 'scleroderma': 65,
 'duchenne muscular dystrophy': 6,
 'infectious hepatitis': 1,
 'strep throat infection': 1,
 'rheumatic heart disease': 2,
 'eosinophilic granulomatosis with polyangiitis (egpa)': 1,
 'myasthenia gravis': 15,
 'vasculitis': 1,
 'esophageal stricture': 18,
 'type 1 diabetes': 1,
 'eosinophilic granulomatosis with polyangiitis (churg-strauss syndrome)': 7,
 'juvenile systemic lupus erythematosus': 28,
 'mixed connective tissue disease': 6,
 'systemic lupus erythematosus (sle)': 358,
 'mitochondrial disease': 1,
 'congestive heart failure': 1,
 'juvenile idiopathic arthritis': 836,
 'muscular dystrophy': 4,
 'infectious disease (e.g. viral or bacterial infection)': 1,
 'infective endocarditis': 2,
 'juvenile scleroderma': 3,
 'juvenile psychiatric disorder': 1,
 'streptococcal pharyngitis': 1,
 'viral infection': 7,
 'cardiac condition (such as pericarditis)': 1,
 'kawasaki disease': 124,
 'renal disease': 1,
 'cardiomyopathy': 2,
 'systemic sclerosis (scleroderma)': 75,
 "thromboangiitis obliterans (buerger's disease)": 1,
 "sjogren's syndrome": 66,
 "raynaud's phenomenon": 269,
 'eosinophilic esophagitis': 82,
 'henoch-schönlein purpura': 1,
 'sickle cell anemia': 1,
 'hepatitis': 2,
 'streptococcal infection': 1,
 'hyperthyroidism': 1,
 'esophageal dysphagia': 2,
 'infectious mononucleosis': 5,
 'juvenile dermatomyositis': 168,
 'systemic sclerosis': 230,
 'lupus': 13,
 "sjögren's syndrome": 4,
 'viral infection (e.g., mononucleosis)': 1,
 'dehydration': 1,
 'costochondritis': 3,
 'systemic juvenile idiopathic arthritis': 2,
 'pulmonary fibrosis': 1,
 'familial mediterranean fever': 1,
 'chiari malformation': 1,
 'tetralogy of fallot': 1,
 'pulmonary hypertension': 4,
 'juvenile idiopathic arthritis (jia)': 25,
 'acute rheumatic fever': 1,
 'pericarditis': 1,
 'systemic lupus erythematosus': 264,
 'dilated cardiomyopathy': 1,
 'pneumonia': 1,
 'diabetic ketoacidosis': 1,
 'juvenile systemic lupus erythematosus (sle)': 2,
 'tuberculosis meningitis': 1,
 'juvenile systemic sclerosis': 56,
 'rheumatic fever': 50,
 'atopic dermatitis': 1,
 'infection': 1,
 'dermatomyositis': 22,
 'viral hepatitis': 2,
 'systemic juvenile idiopathic arthritis (sjia)': 1,
 'myocarditis': 5,
 'influenza': 2,
 'scarlet fever': 5,
 'congenital heart disease': 6,
 'guillain-barre syndrome': 1,
 'sickle cell disease': 2,
 'viral myositis': 2,
 'henoch-schonlein purpura': 1,
 'infection (possibly bacterial)': 1,
 'lupus nephritis': 4,
 'rheumatoid arthritis': 2,
 'juvenile rheumatoid arthritis': 14,
 'pediatric autoimmune neuropsychiatric disorders associated with streptococcal infections (pandas)': 1,
 'esophageal dysmotility': 2,
 'cardiac disease': 1,
 'juvenile myasthenia gravis': 1,
 'mononucleosis': 1,
 "juvenile sjogren's syndrome": 1,
 'juvenile myositis': 8,
 'myositis': 1,
 'cystic fibrosis': 9,
 "wilson's disease": 3,
 'gastroesophageal reflux disease (gerd)': 4,
 'meningitis': 2,
 'viral infection (such as mononucleosis)': 1,
 'eosinophilic fasciitis': 3,
 'hypothyroidism': 8,
 'tuberculosis': 1,
 'mixed connective tissue disease (mctd)': 6,
 'systemic vasculitis': 1}</t>
  </si>
  <si>
    <t>{'juvenile idiopathic arthritis (jia)': 9,
 'systemic sclerosis (scleroderma)': 7,
 'systemic lupus erythematosus (sle)': 159,
 'juvenile dermatomyositis': 75}</t>
  </si>
  <si>
    <t>{'mixed connective tissue disease': 25,
 'systemic lupus erythematosus': 23,
 'systemic lupus erythematosus (sle)': 219,
 'juvenile dermatomyositis': 209,
 'scleroderma': 2,
 'scleroderma (systemic sclerosis)': 5,
 'mixed connective tissue disease (mctd)': 214,
 'juvenile idiopathic arthritis (jia)': 41,
 'systemic sclerosis (scleroderma)': 10,
 "sjogren's syndrome": 2}</t>
  </si>
  <si>
    <t>{'tracheoesophageal fistula': 1,
 "raynaud's phenomenon": 5,
 'scleroderma': 6,
 'juvenile idiopathic arthritis (jia)': 237,
 'juvenile dermatomyositis': 87,
 'esophageal stricture': 1,
 "sjögren's syndrome": 1,
 'systemic lupus erythematosus (sle)': 543,
 'glycogen storage disease': 1,
 'systemic scleroderma (diffuse cutaneous systemic sclerosis)': 2,
 'eisenmenger syndrome': 1,
 'dermatomyositis': 1,
 'sickle cell disease': 1,
 'viral infection (e.g., influenza, common cold)': 1,
 'leukemia': 1,
 'juvenile rheumatoid arthritis (jra)': 1,
 'kawasaki disease': 7,
 "eisenmenger's syndrome": 1,
 'achalasia': 1,
 'systemic sclerosis (scleroderma)': 101}</t>
  </si>
  <si>
    <t>{'tracheoesophageal fistula': 1,
 "raynaud's phenomenon": 164,
 'eosinophilic esophagitis': 10,
 'autoimmune hepatitis': 1,
 'scleroderma': 220,
 'henoch-schönlein purpura': 1,
 'viral infection (e.g., influenza, adenovirus)': 2,
 'pulmonary hypertension': 2,
 'interstitial lung disease (ild)': 4,
 'juvenile idiopathic arthritis (jia)': 451,
 'rheumatoid arthritis': 4,
 'esophageal stricture or dysphagia': 3,
 'acute rheumatic fever': 1,
 'lyme disease': 1,
 'congenital heart disease': 2,
 'juvenile rheumatoid arthritis': 2,
 'systemic lupus erythematosus': 4,
 'polymyositis/dermatomyositis': 1,
 'henoch-schönlein purpura (hsp)': 5,
 'juvenile dermatomyositis': 412,
 'esophageal dysmotility': 2,
 'vasculitis': 22,
 'viral myocarditis': 1,
 'meningococcal meningitis': 3,
 'chronic kidney disease': 1,
 'anemia': 1,
 'esophageal stricture or achalasia': 4,
 'esophageal stricture': 14,
 'lupus': 4,
 'viral infection (e.g., epstein-barr virus, cytomegalovirus)': 1,
 'chronic liver disease': 1,
 "sjögren's syndrome": 32,
 'pulmonary arterial hypertension': 1,
 'lupus erythematosus': 2,
 'mixed connective tissue disease': 19,
 'systemic lupus erythematosus (sle)': 772,
 'sarcoidosis': 1,
 'polyarteritis nodosa': 7,
 'dehydration': 2,
 'glycogen storage disease': 1,
 'systemic scleroderma (diffuse cutaneous systemic sclerosis)': 2,
 'rheumatic fever': 13,
 'juvenile idiopathic arthritis': 20,
 'muscular dystrophy': 3,
 'meningitis': 2,
 'eisenmenger syndrome': 1,
 'costochondritis': 1,
 'thalassemia': 1,
 'dermatomyositis': 39,
 'sickle cell disease': 3,
 'viral infection (e.g., influenza, common cold)': 1,
 'hypothyroidism': 2,
 'leukemia': 9,
 'streptococcal pharyngitis': 3,
 'juvenile rheumatoid arthritis (jra)': 1,
 'interstitial lung disease': 1,
 'viral infection': 1,
 'scleroderma (systemic sclerosis)': 6,
 'lymphoma': 1,
 'kawasaki disease': 36,
 'mixed connective tissue disease (mctd)': 555,
 'eosinophilic esophagitis (eoe)': 2,
 'anxiety disorder or depression': 1,
 'growing pains': 1,
 "eisenmenger's syndrome": 1,
 'achalasia': 2,
 'systemic sclerosis (scleroderma)': 105,
 'streptococcal pharyngitis (strep throat)': 1,
 "sjogren's syndrome": 4}</t>
  </si>
  <si>
    <t>JPM</t>
  </si>
  <si>
    <t>JPM   as Top Diagnosis</t>
  </si>
  <si>
    <t>JPM  in Top 3 diagnoses</t>
  </si>
  <si>
    <t>JPM  as top Diagnosis</t>
  </si>
  <si>
    <t>JPM  as top 3 Diagnosis</t>
  </si>
  <si>
    <t>{'juvenile dermatomyositis': 204,
 '**duchenne muscular dystrophy**': 2,
 'dermatomyositis': 3,
 '**duchenne muscular dystrophy (dmd)**': 1,
 'muscular dystrophy': 2,
 'duchenne muscular dystrophy': 38}</t>
  </si>
  <si>
    <t>{'juvenile idiopathic arthritis': 78,
 '**mitochondrial myopathy**': 1,
 'viral myositis': 2,
 'spinal muscular atrophy (sma)': 2,
 '**inclusion body myositis (ibm)**': 1,
 'myasthenia gravis': 11,
 'dermatomyositis': 3,
 "cushing's syndrome": 1,
 '**myasthenia gravis**': 1,
 'ehlers-danlos syndrome': 1,
 'pompe disease': 5,
 'limb-girdle muscular dystrophy': 1,
 'connective tissue disease': 1,
 'duchenne muscular dystrophy': 91,
 'juvenile myasthenia gravis': 1,
 'juvenile dermatomyositis': 233,
 "addison's disease": 2,
 'chronic inflammatory demyelinating polyneuropathy (cidp)': 1,
 'inflammatory bowel disease': 1,
 'lupus': 2,
 'juvenile myositis': 2,
 'celiac disease': 8,
 'systemic sclerosis (scleroderma)': 2,
 'mixed connective tissue disease': 1,
 'juvenile idiopathic arthritis (jia)': 3,
 'mitochondrial myopathy': 8,
 'polymyositis': 91,
 'spinal muscular atrophy': 6,
 'systemic sclerosis': 3,
 'lymphoma': 1,
 'juvenile systemic lupus erythematosus': 1,
 'muscular dystrophy': 18,
 'inclusion body myositis': 22,
 'malnutrition': 2,
 'hypothyroid myopathy': 8,
 'metabolic myopathy': 1,
 'idiopathic inflammatory myopathies': 3,
 '**duchenne muscular dystrophy**': 2,
 'systemic lupus erythematosus (sle)': 49,
 'metabolic myopathies': 2,
 '**juvenile idiopathic arthritis (jia)**': 1,
 'heart failure': 1,
 'hypothyroidism': 14,
 '**juvenile dermatomyositis (jdm)**': 1,
 'inflammatory myopathy': 16,
 'systemic lupus erythematosus': 37,
 '**duchenne muscular dystrophy (dmd)**': 1,
 'guillain-barre syndrome': 1,
 'cystic fibrosis': 4,
 '**juvenile dermatomyositis**': 1,
 'rheumatoid arthritis': 1}</t>
  </si>
  <si>
    <t>{'tetralogy of fallot': 2,
 'congestive heart failure': 1,
 'juvenile idiopathic arthritis': 675,
 'hyperthyroidism': 2,
 'viral myositis': 1,
 'anorexia nervosa': 1,
 'inflammatory bowel disease (ibd)': 1,
 'iron deficiency anemia': 15,
 'asthma': 1,
 'peripheral vascular disease': 1,
 'duchenne muscular dystrophy': 42,
 'juvenile myasthenia gravis': 5,
 'juvenile dermatomyositis': 99,
 'viral infection (such as influenza)': 1,
 'mononucleosis': 3,
 'anemia': 7,
 'viral infection': 2,
 'iron-deficiency anemia': 2,
 'celiac disease': 3,
 'mitochondrial disease': 3,
 'juvenile idiopathic arthritis (jia)': 3,
 'mitochondrial myopathy': 4,
 'spinal muscular atrophy': 1,
 'lymphoma': 1,
 'leukemia': 3,
 'eosinophilic esophagitis': 1,
 'muscular dystrophy': 55,
 'sepsis': 1,
 'malnutrition': 1,
 'juvenile rheumatoid arthritis': 2,
 "raynaud's disease": 1,
 'congenital heart disease': 15,
 'brain tumor': 1,
 'systemic lupus erythematosus (sle)': 2,
 'juvenile hypothyroidism': 1,
 'vitamin d deficiency': 2,
 'hypothyroidism': 4,
 'influenza': 1,
 'cerebral palsy': 2,
 'systemic lupus erythematosus': 1,
 'neurofibromatosis': 1,
 'guillain-barre syndrome': 16,
 'cystic fibrosis': 6,
 "raynaud's phenomenon": 7}</t>
  </si>
  <si>
    <t>{'juvenile idiopathic arthritis': 789,
 'juvenile diabetes': 34,
 'viral myositis': 2,
 'pulmonary hypertension': 2,
 'rheumatic fever': 14,
 'anorexia nervosa': 2,
 "cushing's syndrome": 3,
 'malabsorption disorder (e.g. celiac disease)': 1,
 'juvenile systemic sclerosis': 2,
 'respiratory infection': 4,
 'primary hypothyroidism': 1,
 'lymphedema': 1,
 'anemia': 132,
 'asthma exacerbation': 3,
 "inflammatory bowel disease (crohn's disease or ulcerative colitis)": 2,
 'vitamin deficiency (e.g. b12 deficiency)': 1,
 'hand-foot-and-mouth disease': 1,
 'mitochondrial disease': 5,
 'juvenile idiopathic oligoarthritis': 1,
 'vitamin deficiency': 1,
 'cardiac condition': 1,
 'osteogenesis imperfecta': 1,
 'cervical lymphadenopathy': 1,
 'gerd (gastroesophageal reflux disease)': 1,
 'sepsis': 2,
 'juvenile idiopathic lupus': 1,
 'von willebrand disease': 1,
 'juvenile diabetes mellitus': 2,
 'fracture or dislocation': 2,
 'meningitis': 1,
 'heart failure': 9,
 'vitamin d deficiency': 25,
 'vitamin deficiency (e.g. vitamin c deficiency)': 1,
 'systemic lupus erythematosus': 45,
 'neurofibromatosis': 2,
 'cystic fibrosis': 24,
 'thyroid disorder': 2,
 'infectious arthritis': 1,
 'gingivitis': 1,
 'myositis': 2,
 'guillain-barré syndrome': 4,
 'tetralogy of fallot': 2,
 'diabetes mellitus type 1': 1,
 'hand-foot-mouth disease': 1,
 'angioedema': 1,
 "wilson's disease": 1,
 'coarctation of the aorta': 1,
 'iron deficiency anemia': 26,
 'dermatomyositis': 9,
 'osteomyelitis': 1,
 'cerebellar ataxia': 1,
 'peripheral vascular disease': 2,
 'ehlers-danlos syndrome': 1,
 'gastroenteritis': 2,
 'juvenile myasthenia gravis': 25,
 'viral infection (such as influenza)': 2,
 'juvenile diabetes (type 1)': 3,
 'achalasia': 5,
 'inflammatory bowel disease': 14,
 'juvenile myositis': 64,
 'lymphadenopathy': 3,
 'celiac disease': 77,
 'connective tissue disorder': 2,
 'polymyositis': 3,
 'eosinophilic esophagitis': 33,
 'leukemia': 43,
 'juvenile systemic lupus erythematosus': 9,
 'malnutrition': 43,
 'mononucleosis (ebv infection)': 1,
 'autoimmune thyroiditis': 1,
 'juvenile lupus': 9,
 'streptococcal pharyngitis': 2,
 'growth hormone deficiency': 1,
 'juvenile onset systemic lupus erythematosus': 1,
 'iron deficiency': 1,
 'osteosarcoma': 1,
 'depression': 1,
 'esophagitis': 1,
 'guillain-barre syndrome': 61,
 "raynaud's phenomenon": 27,
 'septic arthritis': 1,
 'congestive heart failure': 6,
 'hyperthyroidism': 16,
 'spinal muscular atrophy (sma)': 1,
 'epiglottitis': 1,
 'gastrointestinal disorders (such as gerd or gastritis)': 1,
 'nutritional deficiency (e.g., vitamin d deficiency)': 1,
 'gastroesophageal reflux disease (gerd)': 17,
 'viral gastroenteritis': 1,
 'chronic kidney disease': 11,
 'pneumonia': 6,
 'juvenile dermatomyositis': 275,
 'type 1 diabetes': 30,
 "addison's disease": 1,
 'viral infection (e.g. parvovirus b19)': 1,
 'mononucleosis (mono)': 1,
 'viral infection': 16,
 "thyroid disorder (such as hashimoto's thyroiditis)": 1,
 'iron-deficiency anemia': 2,
 'lupus': 5,
 'ewing sarcoma': 1,
 'coxsackie virus infection': 1,
 'chronic fatigue syndrome': 39,
 'infectious mononucleosis': 4,
 'constipation': 2,
 'juvenile scleroderma': 5,
 'lymphoma': 9,
 'scleroderma': 2,
 'acute viral illness': 3,
 'muscular dystrophy': 192,
 'malabsorption syndrome': 2,
 'chronic constipation': 1,
 'acute lymphoblastic leukemia': 5,
 'juvenile rheumatoid arthritis': 57,
 'nutritional deficiency': 1,
 'juvenile idiopathic pulmonary fibrosis': 1,
 'coeliac disease': 8,
 'esophageal stricture': 9,
 'congenital heart disease': 29,
 'juvenile fibromyalgia': 6,
 'fibromyalgia': 4,
 'thyroid cancer': 1,
 'hypothyroidism': 219,
 'hemophilia': 1,
 'neurological disorder (such as muscular dystrophy)': 1,
 'inflammatory myopathy': 1,
 'neuromuscular disorder': 1,
 'juvenile arthritis': 1,
 'acute lymphoblastic leukemia (all)': 1,
 'vitamin b12 deficiency': 3,
 'rheumatoid arthritis': 2,
 'inflammatory bowel disease (ibd)': 3,
 'myasthenia gravis': 27,
 'asthma': 36,
 'viral pharyngitis': 1,
 'duchenne muscular dystrophy': 48,
 'infection (such as pneumonia)': 1,
 'chronic infection (e.g., tuberculosis)': 1,
 'appendicitis': 1,
 'mononucleosis': 12,
 'gastrointestinal bleeding': 4,
 "crohn's disease": 1,
 'cancer': 1,
 'pediatric thyroid disorders': 1,
 'juvenile idiopathic arthritis (jia)': 7,
 'mitochondrial myopathy': 9,
 'spinal muscular atrophy': 3,
 'lead poisoning': 1,
 'neuroblastoma': 2,
 'cardiomyopathy': 2,
 'congenital myasthenic syndrome': 1,
 "raynaud's disease": 7,
 'brain tumor': 2,
 'systemic lupus erythematosus (sle)': 121,
 'juvenile hypothyroidism': 13,
 'autoimmune disease (e.g., lupus)': 1,
 'influenza': 17,
 'lyme disease': 32,
 'cerebral palsy': 9,
 'kawasaki disease': 15}</t>
  </si>
  <si>
    <t>{'juvenile dermatomyositis': 154,
 'duchenne muscular dystrophy (dmd)': 27,
 'dermatomyositis': 69}</t>
  </si>
  <si>
    <t>{'juvenile idiopathic inflammatory myopathies (jiim)': 7,
 'juvenile idiopathic arthritis': 54,
 'muscular dystrophy (duchenne or becker)': 2,
 'spinal muscular atrophy (sma)': 5,
 'inflammatory bowel disease (ibd)': 4,
 'myasthenia gravis': 1,
 'dermatomyositis': 69,
 'idiopathic inflammatory myopathy': 1,
 'antisynthetase syndrome': 1,
 'inflammatory myopathies (e.g., polymyositis, inclusion body myositis)': 3,
 'juvenile dermatomyositis': 182,
 'duchenne muscular dystrophy (dmd)': 27,
 'muscular dystrophy (duchenne or becker type)': 2,
 'limb-girdle muscular dystrophy (lgmd)': 1,
 'muscular dystrophies': 2,
 'juvenile idiopathic arthritis (jia)': 20,
 'mitochondrial myopathy': 6,
 'polymyositis': 32,
 'lymphoma': 4,
 'juvenile idiopathic inflammatory myopathy': 45,
 'muscular dystrophy': 119,
 'muscular dystrophy (duchenne or limb-girdle)': 1,
 'muscular dystrophy (e.g., duchenne or becker)': 11,
 'muscular dystrophy (e.g., duchenne, becker)': 36,
 'metabolic myopathy': 6,
 'systemic lupus erythematosus (sle)': 31,
 'juvenile polymyositis': 17,
 'hypothyroidism': 5,
 'inflammatory myopathy': 1,
 'systemic lupus erythematosus': 2,
 'glycogen storage disease (gsd)': 1,
 'juvenile idiopathic inflammatory myopathy (jiim)': 49,
 'mixed connective tissue disease (mctd)': 2,
 'juvenile idiopathic inflammatory myopathies': 1}</t>
  </si>
  <si>
    <t>{'congestive heart failure': 3,
 'viral myositis': 2,
 'hyperthyroidism': 1,
 'inflammatory bowel disease (ibd)': 2,
 'anorexia nervosa': 3,
 'rheumatic fever': 1,
 'myasthenia gravis': 4,
 'iron deficiency anemia': 77,
 'dermatomyositis': 13,
 'asthma': 4,
 'acute disseminated encephalomyelitis (adem)': 1,
 'nephrotic syndrome': 3,
 'acute rheumatic fever': 1,
 'pneumonia': 3,
 'juvenile dermatomyositis': 232,
 'duchenne muscular dystrophy (dmd)': 15,
 'peptic ulcer disease': 1,
 'anemia': 5,
 'achalasia': 1,
 "crohn's disease": 1,
 'rickets': 1,
 'celiac disease': 7,
 'juvenile idiopathic arthritis (jia)': 450,
 'peripheral artery disease (pad)': 1,
 'polymyositis': 1,
 'lymphoma': 13,
 'viral infection (e.g., influenza, common cold)': 4,
 'leukemia': 35,
 'guillain-barré syndrome (gbs)': 9,
 'muscular dystrophy': 36,
 'malnutrition': 2,
 'juvenile rheumatoid arthritis (jra)': 2,
 'sickle cell disease': 2,
 'brachial plexus injury': 2,
 'pompe disease (glycogen storage disease type ii)': 1,
 'measles': 1,
 'legg-calve-perthes disease': 1,
 'vitamin d deficiency rickets': 2,
 'congenital heart disease': 5,
 'systemic lupus erythematosus (sle)': 15,
 'meningitis': 2,
 'heart failure': 2,
 'hypothyroidism': 12,
 'acute lymphoblastic leukemia (all)': 9,
 'cerebral palsy': 1,
 'kawasaki disease': 3,
 'severe dehydration': 1,
 'cystic fibrosis': 3,
 "raynaud's phenomenon": 2,
 'lupus erythematosus': 1,
 'septic arthritis': 1}</t>
  </si>
  <si>
    <t>{'juvenile idiopathic arthritis': 247,
 'viral myositis': 6,
 'rheumatic fever': 9,
 'anorexia nervosa': 3,
 "cushing's syndrome": 1,
 'acute disseminated encephalomyelitis (adem)': 1,
 'nephrotic syndrome': 5,
 'respiratory infection (pneumonia or bronchitis)': 1,
 'endocrine disorders': 1,
 'deconditioning': 2,
 'respiratory infection': 7,
 'malignancy (e.g., leukemia or lymphoma)': 2,
 'endocrine disorder (e.g., growth hormone deficiency)': 1,
 'lymphedema': 3,
 'peptic ulcer disease': 1,
 'anemia': 97,
 'asthma exacerbation': 1,
 "inflammatory bowel disease (crohn's disease or ulcerative colitis)": 1,
 'viral infection (e.g., mononucleosis)': 1,
 'rickets': 1,
 'viral infection (e.g., influenza, epstein-barr virus)': 4,
 'vitamin deficiency': 4,
 'juvenile idiopathic inflammatory myopathy': 1,
 'growing pains': 1,
 'guillain-barré syndrome (gbs)': 13,
 'brachial plexus injury': 3,
 'measles': 1,
 'vitamin d deficiency rickets': 2,
 'dehydration': 5,
 'autoimmune disorder (e.g., lupus, juvenile idiopathic arthritis)': 1,
 'meningitis': 3,
 'vitamin d deficiency': 36,
 'heart failure': 3,
 'severe dehydration': 1,
 'systemic lupus erythematosus': 27,
 'cystic fibrosis': 4,
 'myositis': 9,
 'thyroid disorder': 2,
 'gingivitis': 1,
 'guillain-barré syndrome': 20,
 'iron deficiency anemia': 138,
 'dermatomyositis': 53,
 'osteomyelitis': 3,
 'mitochondrial disorder': 1,
 'achalasia': 2,
 'celiac disease': 117,
 'bacterial infection (e.g., streptococcal pharyngitis, pneumonia)': 1,
 'mixed connective tissue disease': 1,
 'leukemia (e.g., acute lymphoblastic leukemia)': 1,
 'autoimmune disorder': 1,
 'polymyositis': 45,
 'peripheral artery disease (pad)': 1,
 'chronic illness': 2,
 'viral infection (e.g., influenza, covid-19)': 1,
 'eosinophilic esophagitis (eoe)': 1,
 'marfan syndrome': 1,
 'leukemia': 239,
 'malnutrition': 31,
 'juvenile rheumatoid arthritis (jra)': 5,
 'esophageal achalasia': 1,
 'vitamin deficiency (iron, vitamin d)': 1,
 'juvenile lupus': 1,
 'growth hormone deficiency': 2,
 'infectious mononucleosis (mono)': 1,
 'obstructive sleep apnea': 1,
 'osteosarcoma': 3,
 'depression': 3,
 'streptococcal pharyngitis (strep throat)': 1,
 "raynaud's phenomenon": 24,
 'lupus erythematosus': 4,
 'viral infection (e.g., influenza, adenovirus)': 2,
 'septic arthritis': 4,
 'vitamin deficiency (e.g., iron, vitamin c)': 1,
 'multiple sclerosis (ms)': 3,
 'congestive heart failure': 7,
 'hyperthyroidism': 7,
 'spinal muscular atrophy (sma)': 4,
 'ulcerative colitis': 1,
 'vitamin c deficiency (scurvy)': 4,
 'gastroesophageal reflux disease (gerd)': 5,
 'viral gastroenteritis': 1,
 'acute rheumatic fever': 2,
 'viral infection (e.g., influenza, mononucleosis)': 3,
 'pneumonia': 5,
 'superior vena cava syndrome': 1,
 'juvenile dermatomyositis': 355,
 'malignancy': 1,
 'mononucleosis (mono)': 1,
 'malignancy (cancer)': 2,
 'viral infection': 8,
 'neurological disorder': 4,
 'lupus': 47,
 'chronic fatigue syndrome': 4,
 'infectious mononucleosis': 1,
 'lymphoma': 26,
 'thoracic outlet syndrome': 2,
 'scleroderma': 2,
 'muscular dystrophy': 143,
 'pompe disease (glycogen storage disease type ii)': 1,
 'juvenile rheumatoid arthritis': 19,
 'acute lymphoblastic leukemia': 2,
 'legg-calve-perthes disease': 9,
 'nutritional deficiency': 2,
 'respiratory infection or pneumonia': 1,
 'deep vein thrombosis (dvt)': 1,
 'esophageal stricture': 4,
 'congenital heart disease': 23,
 'fibromyalgia': 3,
 'hypothyroidism': 98,
 'acute lymphoblastic leukemia (all)': 11,
 'vitamin b12 deficiency': 2,
 'rheumatoid arthritis': 1,
 'encephalitis': 1,
 'cervical spine injury': 1,
 'inflammatory bowel disease (ibd)': 33,
 'myasthenia gravis': 26,
 'asthma': 53,
 'tuberculosis': 1,
 'gastritis': 1,
 'duchenne muscular dystrophy (dmd)': 15,
 'myositis (inflammatory muscle disease)': 1,
 'mononucleosis': 1,
 "crohn's disease": 4,
 'nail disorders': 1,
 'viral respiratory infection': 1,
 'vitamin deficiency (e.g., iron, vitamin b12)': 1,
 'juvenile idiopathic arthritis (jia)': 514,
 'mitochondrial myopathy': 4,
 'chronic fatigue syndrome (cfs)': 2,
 'spinal muscular atrophy': 3,
 'viral infection (e.g., influenza, common cold)': 5,
 'neurological disorder (e.g., multiple sclerosis)': 1,
 'sickle cell disease': 6,
 'neuroblastoma': 2,
 'vasculitis': 1,
 'hypermobility syndrome': 1,
 'brain tumor': 3,
 'botulism': 1,
 'systemic lupus erythematosus (sle)': 236,
 'influenza': 3,
 'lyme disease': 19,
 'cerebral palsy': 5,
 'kawasaki disease': 6,
 'viral infection (e.g., influenza, respiratory syncytial virus)': 1,
 'esophageal stricture or achalasia': 1,
 'mixed connective tissue disease (mctd)':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</si>
</sst>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4"/>
      <color rgb="FF000000"/>
      <name val="Courier New"/>
      <family val="1"/>
    </font>
    <font>
      <sz val="14"/>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9" fontId="0" fillId="0" borderId="0" xfId="0" applyNumberFormat="1"/>
    <xf numFmtId="0" fontId="0" fillId="0" borderId="0" xfId="0" applyAlignment="1">
      <alignment wrapText="1"/>
    </xf>
    <xf numFmtId="9" fontId="0" fillId="0" borderId="0" xfId="0" applyNumberFormat="1" applyAlignment="1">
      <alignment wrapText="1"/>
    </xf>
    <xf numFmtId="0" fontId="2" fillId="0" borderId="0" xfId="0" applyFont="1" applyAlignment="1">
      <alignment wrapText="1"/>
    </xf>
    <xf numFmtId="0" fontId="3" fillId="0" borderId="0" xfId="0" applyFont="1" applyAlignment="1">
      <alignment wrapText="1"/>
    </xf>
    <xf numFmtId="10" fontId="0" fillId="0" borderId="0" xfId="0" applyNumberFormat="1"/>
    <xf numFmtId="10" fontId="3" fillId="0" borderId="0" xfId="0" applyNumberFormat="1" applyFont="1" applyAlignment="1">
      <alignment wrapText="1"/>
    </xf>
    <xf numFmtId="10"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294B9-E8E4-D241-9B01-04EE1BFF50E8}">
  <dimension ref="A1:E48"/>
  <sheetViews>
    <sheetView tabSelected="1" workbookViewId="0">
      <selection sqref="A1:A1048576"/>
    </sheetView>
  </sheetViews>
  <sheetFormatPr baseColWidth="10" defaultRowHeight="16" x14ac:dyDescent="0.2"/>
  <cols>
    <col min="1" max="1" width="33.83203125" customWidth="1"/>
    <col min="2" max="2" width="62.5" style="3" customWidth="1"/>
    <col min="3" max="3" width="56.83203125" customWidth="1"/>
    <col min="5" max="5" width="92.83203125" customWidth="1"/>
  </cols>
  <sheetData>
    <row r="1" spans="1:5" ht="17" x14ac:dyDescent="0.2">
      <c r="A1" s="1" t="s">
        <v>1</v>
      </c>
      <c r="B1" s="3" t="s">
        <v>0</v>
      </c>
    </row>
    <row r="3" spans="1:5" ht="34" x14ac:dyDescent="0.2">
      <c r="B3" s="3" t="s">
        <v>7</v>
      </c>
    </row>
    <row r="4" spans="1:5" ht="238" x14ac:dyDescent="0.2">
      <c r="A4" t="s">
        <v>8</v>
      </c>
      <c r="B4" s="3" t="s">
        <v>9</v>
      </c>
      <c r="C4" s="1" t="s">
        <v>30</v>
      </c>
      <c r="E4" s="1" t="s">
        <v>32</v>
      </c>
    </row>
    <row r="5" spans="1:5" ht="340" x14ac:dyDescent="0.2">
      <c r="A5" t="s">
        <v>10</v>
      </c>
      <c r="B5" s="3" t="s">
        <v>11</v>
      </c>
      <c r="C5" s="3" t="s">
        <v>31</v>
      </c>
      <c r="E5" s="3" t="s">
        <v>33</v>
      </c>
    </row>
    <row r="7" spans="1:5" ht="34" x14ac:dyDescent="0.2">
      <c r="A7" s="1" t="s">
        <v>2</v>
      </c>
      <c r="B7" s="3" t="s">
        <v>3</v>
      </c>
    </row>
    <row r="8" spans="1:5" ht="17" x14ac:dyDescent="0.2">
      <c r="B8" s="3" t="s">
        <v>4</v>
      </c>
      <c r="C8" t="s">
        <v>5</v>
      </c>
    </row>
    <row r="9" spans="1:5" x14ac:dyDescent="0.2">
      <c r="A9" t="s">
        <v>6</v>
      </c>
      <c r="B9" s="4">
        <v>1</v>
      </c>
      <c r="C9" s="2">
        <v>1</v>
      </c>
    </row>
    <row r="10" spans="1:5" x14ac:dyDescent="0.2">
      <c r="A10" t="s">
        <v>12</v>
      </c>
      <c r="B10" s="4">
        <v>1</v>
      </c>
      <c r="C10" s="2">
        <v>1</v>
      </c>
    </row>
    <row r="12" spans="1:5" ht="40" x14ac:dyDescent="0.25">
      <c r="A12" t="s">
        <v>13</v>
      </c>
      <c r="B12" s="6" t="s">
        <v>14</v>
      </c>
      <c r="C12" s="6" t="s">
        <v>15</v>
      </c>
    </row>
    <row r="13" spans="1:5" ht="409.6" x14ac:dyDescent="0.25">
      <c r="A13" t="s">
        <v>16</v>
      </c>
      <c r="B13" s="6" t="s">
        <v>17</v>
      </c>
      <c r="C13" s="3" t="s">
        <v>18</v>
      </c>
    </row>
    <row r="14" spans="1:5" ht="19" x14ac:dyDescent="0.25">
      <c r="B14" s="5"/>
    </row>
    <row r="15" spans="1:5" ht="68" x14ac:dyDescent="0.2">
      <c r="A15" s="1" t="s">
        <v>19</v>
      </c>
      <c r="B15" s="3" t="s">
        <v>20</v>
      </c>
      <c r="C15" t="s">
        <v>23</v>
      </c>
    </row>
    <row r="16" spans="1:5" ht="20" x14ac:dyDescent="0.25">
      <c r="B16" s="6" t="s">
        <v>4</v>
      </c>
      <c r="C16" t="s">
        <v>22</v>
      </c>
    </row>
    <row r="17" spans="1:3" ht="19" x14ac:dyDescent="0.25">
      <c r="A17" t="s">
        <v>21</v>
      </c>
      <c r="B17" s="8">
        <v>0.57099999999999995</v>
      </c>
      <c r="C17" s="7">
        <v>0.48699999999999999</v>
      </c>
    </row>
    <row r="18" spans="1:3" ht="19" x14ac:dyDescent="0.25">
      <c r="A18" t="s">
        <v>24</v>
      </c>
      <c r="B18" s="8">
        <v>0.78800000000000003</v>
      </c>
      <c r="C18" s="7">
        <v>0.70099999999999996</v>
      </c>
    </row>
    <row r="19" spans="1:3" ht="340" x14ac:dyDescent="0.25">
      <c r="A19" t="s">
        <v>25</v>
      </c>
      <c r="B19" s="6" t="s">
        <v>26</v>
      </c>
      <c r="C19" s="3" t="s">
        <v>27</v>
      </c>
    </row>
    <row r="20" spans="1:3" ht="409.6" x14ac:dyDescent="0.25">
      <c r="A20" t="s">
        <v>16</v>
      </c>
      <c r="B20" s="6" t="s">
        <v>29</v>
      </c>
      <c r="C20" s="3" t="s">
        <v>28</v>
      </c>
    </row>
    <row r="21" spans="1:3" ht="19" x14ac:dyDescent="0.25">
      <c r="B21" s="5"/>
    </row>
    <row r="22" spans="1:3" ht="19" x14ac:dyDescent="0.25">
      <c r="B22" s="5"/>
    </row>
    <row r="23" spans="1:3" ht="19" x14ac:dyDescent="0.25">
      <c r="B23" s="5"/>
    </row>
    <row r="24" spans="1:3" ht="19" x14ac:dyDescent="0.25">
      <c r="B24" s="5"/>
    </row>
    <row r="25" spans="1:3" ht="19" x14ac:dyDescent="0.25">
      <c r="B25" s="5"/>
    </row>
    <row r="26" spans="1:3" ht="19" x14ac:dyDescent="0.25">
      <c r="B26" s="5"/>
    </row>
    <row r="27" spans="1:3" ht="19" x14ac:dyDescent="0.25">
      <c r="B27" s="5"/>
    </row>
    <row r="28" spans="1:3" ht="19" x14ac:dyDescent="0.25">
      <c r="B28" s="5"/>
    </row>
    <row r="29" spans="1:3" ht="19" x14ac:dyDescent="0.25">
      <c r="B29" s="5"/>
    </row>
    <row r="30" spans="1:3" ht="19" x14ac:dyDescent="0.25">
      <c r="B30" s="5"/>
    </row>
    <row r="31" spans="1:3" ht="19" x14ac:dyDescent="0.25">
      <c r="B31" s="5"/>
    </row>
    <row r="32" spans="1:3" ht="19" x14ac:dyDescent="0.25">
      <c r="B32" s="5"/>
    </row>
    <row r="33" spans="2:2" ht="19" x14ac:dyDescent="0.25">
      <c r="B33" s="5"/>
    </row>
    <row r="34" spans="2:2" ht="19" x14ac:dyDescent="0.25">
      <c r="B34" s="5"/>
    </row>
    <row r="35" spans="2:2" ht="19" x14ac:dyDescent="0.25">
      <c r="B35" s="5"/>
    </row>
    <row r="36" spans="2:2" ht="19" x14ac:dyDescent="0.25">
      <c r="B36" s="5"/>
    </row>
    <row r="37" spans="2:2" ht="19" x14ac:dyDescent="0.25">
      <c r="B37" s="5"/>
    </row>
    <row r="38" spans="2:2" ht="19" x14ac:dyDescent="0.25">
      <c r="B38" s="5"/>
    </row>
    <row r="39" spans="2:2" ht="19" x14ac:dyDescent="0.25">
      <c r="B39" s="5"/>
    </row>
    <row r="40" spans="2:2" ht="19" x14ac:dyDescent="0.25">
      <c r="B40" s="5"/>
    </row>
    <row r="41" spans="2:2" ht="19" x14ac:dyDescent="0.25">
      <c r="B41" s="5"/>
    </row>
    <row r="42" spans="2:2" ht="19" x14ac:dyDescent="0.25">
      <c r="B42" s="5"/>
    </row>
    <row r="43" spans="2:2" ht="19" x14ac:dyDescent="0.25">
      <c r="B43" s="5"/>
    </row>
    <row r="44" spans="2:2" ht="19" x14ac:dyDescent="0.25">
      <c r="B44" s="5"/>
    </row>
    <row r="45" spans="2:2" ht="19" x14ac:dyDescent="0.25">
      <c r="B45" s="5"/>
    </row>
    <row r="46" spans="2:2" ht="19" x14ac:dyDescent="0.25">
      <c r="B46" s="5"/>
    </row>
    <row r="47" spans="2:2" ht="19" x14ac:dyDescent="0.25">
      <c r="B47" s="5"/>
    </row>
    <row r="48" spans="2:2" ht="19" x14ac:dyDescent="0.25">
      <c r="B48"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A8322-D467-8C47-8BA9-6FFB837C1095}">
  <dimension ref="A1:D17"/>
  <sheetViews>
    <sheetView workbookViewId="0">
      <selection activeCell="B5" sqref="B5:C6"/>
    </sheetView>
  </sheetViews>
  <sheetFormatPr baseColWidth="10" defaultRowHeight="16" x14ac:dyDescent="0.2"/>
  <cols>
    <col min="1" max="1" width="23.5" customWidth="1"/>
    <col min="2" max="2" width="70" customWidth="1"/>
    <col min="3" max="3" width="64.33203125" customWidth="1"/>
    <col min="4" max="4" width="103.83203125" customWidth="1"/>
  </cols>
  <sheetData>
    <row r="1" spans="1:4" x14ac:dyDescent="0.2">
      <c r="A1" s="1" t="s">
        <v>1</v>
      </c>
      <c r="B1" t="s">
        <v>34</v>
      </c>
    </row>
    <row r="2" spans="1:4" ht="136" x14ac:dyDescent="0.2">
      <c r="B2" s="3" t="s">
        <v>7</v>
      </c>
    </row>
    <row r="3" spans="1:4" ht="221" x14ac:dyDescent="0.2">
      <c r="A3" t="s">
        <v>8</v>
      </c>
      <c r="B3" s="3" t="s">
        <v>9</v>
      </c>
      <c r="C3" t="s">
        <v>36</v>
      </c>
      <c r="D3" t="s">
        <v>38</v>
      </c>
    </row>
    <row r="4" spans="1:4" ht="340" x14ac:dyDescent="0.2">
      <c r="A4" t="s">
        <v>10</v>
      </c>
      <c r="B4" s="3" t="s">
        <v>35</v>
      </c>
      <c r="C4" s="3" t="s">
        <v>37</v>
      </c>
      <c r="D4" s="3" t="s">
        <v>39</v>
      </c>
    </row>
    <row r="5" spans="1:4" ht="34" x14ac:dyDescent="0.2">
      <c r="A5" s="1" t="s">
        <v>2</v>
      </c>
      <c r="B5" s="3" t="s">
        <v>3</v>
      </c>
    </row>
    <row r="6" spans="1:4" ht="17" x14ac:dyDescent="0.2">
      <c r="B6" s="3" t="s">
        <v>4</v>
      </c>
      <c r="C6" t="s">
        <v>5</v>
      </c>
    </row>
    <row r="7" spans="1:4" x14ac:dyDescent="0.2">
      <c r="A7" t="s">
        <v>40</v>
      </c>
      <c r="B7">
        <f>195/250*100</f>
        <v>78</v>
      </c>
      <c r="C7">
        <f>243/250*100</f>
        <v>97.2</v>
      </c>
    </row>
    <row r="8" spans="1:4" x14ac:dyDescent="0.2">
      <c r="A8" t="s">
        <v>42</v>
      </c>
      <c r="B8">
        <v>100</v>
      </c>
      <c r="C8">
        <f>248/250*100</f>
        <v>99.2</v>
      </c>
    </row>
    <row r="9" spans="1:4" ht="170" x14ac:dyDescent="0.2">
      <c r="A9" t="s">
        <v>13</v>
      </c>
      <c r="B9" s="3" t="s">
        <v>41</v>
      </c>
      <c r="C9" s="3" t="s">
        <v>43</v>
      </c>
    </row>
    <row r="10" spans="1:4" ht="409.6" x14ac:dyDescent="0.2">
      <c r="A10" t="s">
        <v>44</v>
      </c>
      <c r="B10" s="3" t="s">
        <v>46</v>
      </c>
      <c r="C10" s="3" t="s">
        <v>45</v>
      </c>
    </row>
    <row r="11" spans="1:4" ht="68" x14ac:dyDescent="0.2">
      <c r="A11" s="1" t="s">
        <v>19</v>
      </c>
      <c r="B11" s="3" t="s">
        <v>20</v>
      </c>
      <c r="C11" t="s">
        <v>23</v>
      </c>
    </row>
    <row r="12" spans="1:4" ht="20" x14ac:dyDescent="0.25">
      <c r="B12" s="6" t="s">
        <v>4</v>
      </c>
      <c r="C12" t="s">
        <v>22</v>
      </c>
    </row>
    <row r="13" spans="1:4" ht="19" x14ac:dyDescent="0.25">
      <c r="A13" t="s">
        <v>47</v>
      </c>
      <c r="B13" s="8">
        <v>0.68100000000000005</v>
      </c>
      <c r="C13" s="7">
        <v>0.84299999999999997</v>
      </c>
    </row>
    <row r="14" spans="1:4" ht="19" x14ac:dyDescent="0.25">
      <c r="A14" t="s">
        <v>48</v>
      </c>
      <c r="B14" s="8">
        <v>0.98699999999999999</v>
      </c>
      <c r="C14" s="7">
        <v>0.96</v>
      </c>
    </row>
    <row r="15" spans="1:4" ht="409.6" x14ac:dyDescent="0.25">
      <c r="A15" t="s">
        <v>25</v>
      </c>
      <c r="B15" s="6" t="s">
        <v>49</v>
      </c>
      <c r="C15" s="3" t="s">
        <v>51</v>
      </c>
    </row>
    <row r="16" spans="1:4" ht="409.6" x14ac:dyDescent="0.25">
      <c r="A16" t="s">
        <v>16</v>
      </c>
      <c r="B16" s="6" t="s">
        <v>50</v>
      </c>
      <c r="C16" s="3" t="s">
        <v>52</v>
      </c>
    </row>
    <row r="17" spans="2:2" ht="19" x14ac:dyDescent="0.25">
      <c r="B17"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25DA-BDDD-2941-A2FC-B926ABD63C76}">
  <dimension ref="A1:D20"/>
  <sheetViews>
    <sheetView workbookViewId="0"/>
  </sheetViews>
  <sheetFormatPr baseColWidth="10" defaultRowHeight="16" x14ac:dyDescent="0.2"/>
  <cols>
    <col min="1" max="1" width="33.83203125" customWidth="1"/>
    <col min="2" max="2" width="82" customWidth="1"/>
    <col min="3" max="3" width="81.33203125" customWidth="1"/>
    <col min="4" max="4" width="79" customWidth="1"/>
  </cols>
  <sheetData>
    <row r="1" spans="1:4" x14ac:dyDescent="0.2">
      <c r="A1" s="1" t="s">
        <v>1</v>
      </c>
      <c r="B1" t="s">
        <v>53</v>
      </c>
    </row>
    <row r="4" spans="1:4" ht="204" x14ac:dyDescent="0.2">
      <c r="A4" t="s">
        <v>8</v>
      </c>
      <c r="B4" s="3" t="s">
        <v>9</v>
      </c>
      <c r="C4" t="s">
        <v>36</v>
      </c>
      <c r="D4" t="s">
        <v>38</v>
      </c>
    </row>
    <row r="5" spans="1:4" ht="372" x14ac:dyDescent="0.2">
      <c r="A5" t="s">
        <v>10</v>
      </c>
      <c r="B5" s="3" t="s">
        <v>58</v>
      </c>
      <c r="C5" s="3" t="s">
        <v>59</v>
      </c>
      <c r="D5" s="3" t="s">
        <v>60</v>
      </c>
    </row>
    <row r="7" spans="1:4" ht="34" x14ac:dyDescent="0.2">
      <c r="A7" s="1" t="s">
        <v>2</v>
      </c>
      <c r="B7" s="3" t="s">
        <v>3</v>
      </c>
    </row>
    <row r="8" spans="1:4" ht="17" x14ac:dyDescent="0.2">
      <c r="B8" s="3" t="s">
        <v>4</v>
      </c>
      <c r="C8" t="s">
        <v>5</v>
      </c>
    </row>
    <row r="9" spans="1:4" x14ac:dyDescent="0.2">
      <c r="A9" t="s">
        <v>54</v>
      </c>
      <c r="B9" s="7">
        <v>0.6532</v>
      </c>
      <c r="C9">
        <f>221/250*100</f>
        <v>88.4</v>
      </c>
    </row>
    <row r="10" spans="1:4" x14ac:dyDescent="0.2">
      <c r="A10" t="s">
        <v>55</v>
      </c>
      <c r="B10" s="2">
        <v>0.95</v>
      </c>
      <c r="C10" s="2">
        <v>0.94</v>
      </c>
    </row>
    <row r="12" spans="1:4" ht="170" x14ac:dyDescent="0.2">
      <c r="A12" t="s">
        <v>13</v>
      </c>
      <c r="B12" s="3" t="s">
        <v>61</v>
      </c>
      <c r="C12" s="3" t="s">
        <v>65</v>
      </c>
    </row>
    <row r="13" spans="1:4" ht="409.6" x14ac:dyDescent="0.2">
      <c r="A13" t="s">
        <v>16</v>
      </c>
      <c r="B13" s="3" t="s">
        <v>62</v>
      </c>
      <c r="C13" s="3" t="s">
        <v>66</v>
      </c>
    </row>
    <row r="15" spans="1:4" x14ac:dyDescent="0.2">
      <c r="A15" s="1" t="s">
        <v>19</v>
      </c>
    </row>
    <row r="16" spans="1:4" ht="17" x14ac:dyDescent="0.2">
      <c r="B16" s="3" t="s">
        <v>4</v>
      </c>
      <c r="C16" t="s">
        <v>5</v>
      </c>
    </row>
    <row r="17" spans="1:3" x14ac:dyDescent="0.2">
      <c r="A17" t="s">
        <v>56</v>
      </c>
      <c r="B17" s="3">
        <v>22.6</v>
      </c>
      <c r="C17">
        <v>21.5</v>
      </c>
    </row>
    <row r="18" spans="1:3" x14ac:dyDescent="0.2">
      <c r="A18" t="s">
        <v>57</v>
      </c>
      <c r="B18">
        <v>66.349999999999994</v>
      </c>
      <c r="C18">
        <v>62.7</v>
      </c>
    </row>
    <row r="19" spans="1:3" ht="409.6" x14ac:dyDescent="0.2">
      <c r="A19" t="s">
        <v>25</v>
      </c>
      <c r="B19" s="3" t="s">
        <v>63</v>
      </c>
      <c r="C19" s="3" t="s">
        <v>67</v>
      </c>
    </row>
    <row r="20" spans="1:3" ht="409.6" x14ac:dyDescent="0.2">
      <c r="A20" t="s">
        <v>16</v>
      </c>
      <c r="B20" s="3" t="s">
        <v>64</v>
      </c>
      <c r="C20" s="3"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1ABCB-DC8A-2E40-96CE-594A593CC209}">
  <dimension ref="A1:D19"/>
  <sheetViews>
    <sheetView topLeftCell="A3" workbookViewId="0">
      <selection activeCell="A6" sqref="A6"/>
    </sheetView>
  </sheetViews>
  <sheetFormatPr baseColWidth="10" defaultRowHeight="16" x14ac:dyDescent="0.2"/>
  <cols>
    <col min="1" max="1" width="33.83203125" customWidth="1"/>
    <col min="2" max="2" width="104.1640625" style="3" customWidth="1"/>
    <col min="3" max="3" width="79.83203125" customWidth="1"/>
    <col min="4" max="4" width="83.33203125" customWidth="1"/>
  </cols>
  <sheetData>
    <row r="1" spans="1:4" ht="17" x14ac:dyDescent="0.2">
      <c r="A1" s="1" t="s">
        <v>1</v>
      </c>
      <c r="B1" s="3" t="s">
        <v>68</v>
      </c>
    </row>
    <row r="2" spans="1:4" ht="408" customHeight="1" x14ac:dyDescent="0.2">
      <c r="A2" t="s">
        <v>8</v>
      </c>
      <c r="B2" s="3" t="s">
        <v>9</v>
      </c>
      <c r="C2" t="s">
        <v>36</v>
      </c>
      <c r="D2" t="s">
        <v>38</v>
      </c>
    </row>
    <row r="3" spans="1:4" ht="341" x14ac:dyDescent="0.25">
      <c r="A3" t="s">
        <v>10</v>
      </c>
      <c r="B3" s="6" t="s">
        <v>73</v>
      </c>
      <c r="C3" s="3" t="s">
        <v>74</v>
      </c>
      <c r="D3" s="3" t="s">
        <v>75</v>
      </c>
    </row>
    <row r="7" spans="1:4" ht="17" x14ac:dyDescent="0.2">
      <c r="B7" s="3" t="s">
        <v>76</v>
      </c>
      <c r="C7" t="s">
        <v>77</v>
      </c>
    </row>
    <row r="8" spans="1:4" x14ac:dyDescent="0.2">
      <c r="A8" t="s">
        <v>69</v>
      </c>
      <c r="B8" s="3">
        <v>0</v>
      </c>
      <c r="C8">
        <v>0</v>
      </c>
    </row>
    <row r="9" spans="1:4" x14ac:dyDescent="0.2">
      <c r="A9" t="s">
        <v>70</v>
      </c>
      <c r="B9" s="9">
        <v>1.2E-2</v>
      </c>
      <c r="C9">
        <f>(214+25)/250*100</f>
        <v>95.6</v>
      </c>
    </row>
    <row r="11" spans="1:4" ht="119" x14ac:dyDescent="0.2">
      <c r="A11" t="s">
        <v>13</v>
      </c>
      <c r="B11" s="3" t="s">
        <v>78</v>
      </c>
      <c r="C11" s="3" t="s">
        <v>82</v>
      </c>
    </row>
    <row r="12" spans="1:4" ht="409.6" x14ac:dyDescent="0.2">
      <c r="A12" t="s">
        <v>16</v>
      </c>
      <c r="B12" s="3" t="s">
        <v>79</v>
      </c>
      <c r="C12" s="3" t="s">
        <v>83</v>
      </c>
    </row>
    <row r="14" spans="1:4" x14ac:dyDescent="0.2">
      <c r="A14" s="1" t="s">
        <v>19</v>
      </c>
    </row>
    <row r="15" spans="1:4" ht="17" x14ac:dyDescent="0.2">
      <c r="B15" s="3" t="s">
        <v>4</v>
      </c>
      <c r="C15" t="s">
        <v>77</v>
      </c>
    </row>
    <row r="16" spans="1:4" x14ac:dyDescent="0.2">
      <c r="A16" t="s">
        <v>71</v>
      </c>
      <c r="B16" s="3">
        <v>0</v>
      </c>
      <c r="C16">
        <v>0</v>
      </c>
    </row>
    <row r="17" spans="1:3" x14ac:dyDescent="0.2">
      <c r="A17" t="s">
        <v>72</v>
      </c>
      <c r="B17" s="3">
        <v>1.2</v>
      </c>
      <c r="C17">
        <v>57.4</v>
      </c>
    </row>
    <row r="18" spans="1:3" ht="340" x14ac:dyDescent="0.2">
      <c r="A18" t="s">
        <v>25</v>
      </c>
      <c r="B18" s="3" t="s">
        <v>80</v>
      </c>
      <c r="C18" s="3" t="s">
        <v>84</v>
      </c>
    </row>
    <row r="19" spans="1:3" ht="409.6" x14ac:dyDescent="0.2">
      <c r="A19" t="s">
        <v>16</v>
      </c>
      <c r="B19" s="3" t="s">
        <v>81</v>
      </c>
      <c r="C19" s="3" t="s">
        <v>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C4689-AC52-0C4D-A57F-FB9026929398}">
  <dimension ref="A1:C22"/>
  <sheetViews>
    <sheetView workbookViewId="0">
      <selection activeCell="B8" sqref="B8"/>
    </sheetView>
  </sheetViews>
  <sheetFormatPr baseColWidth="10" defaultRowHeight="16" x14ac:dyDescent="0.2"/>
  <cols>
    <col min="1" max="1" width="30.33203125" customWidth="1"/>
    <col min="2" max="2" width="80.83203125" customWidth="1"/>
    <col min="3" max="3" width="152.6640625" customWidth="1"/>
  </cols>
  <sheetData>
    <row r="1" spans="1:3" x14ac:dyDescent="0.2">
      <c r="A1" s="1" t="s">
        <v>1</v>
      </c>
      <c r="B1" t="s">
        <v>86</v>
      </c>
    </row>
    <row r="3" spans="1:3" x14ac:dyDescent="0.2">
      <c r="B3" s="3"/>
    </row>
    <row r="4" spans="1:3" ht="34" x14ac:dyDescent="0.2">
      <c r="B4" s="3" t="s">
        <v>76</v>
      </c>
      <c r="C4" t="s">
        <v>77</v>
      </c>
    </row>
    <row r="5" spans="1:3" x14ac:dyDescent="0.2">
      <c r="A5" t="s">
        <v>87</v>
      </c>
      <c r="B5" s="3">
        <v>0</v>
      </c>
      <c r="C5">
        <v>0</v>
      </c>
    </row>
    <row r="6" spans="1:3" x14ac:dyDescent="0.2">
      <c r="A6" t="s">
        <v>88</v>
      </c>
      <c r="B6" s="9">
        <f>91/250</f>
        <v>0.36399999999999999</v>
      </c>
      <c r="C6">
        <f>52/250*100</f>
        <v>20.8</v>
      </c>
    </row>
    <row r="7" spans="1:3" x14ac:dyDescent="0.2">
      <c r="B7" s="3"/>
    </row>
    <row r="8" spans="1:3" ht="102" x14ac:dyDescent="0.2">
      <c r="A8" t="s">
        <v>13</v>
      </c>
      <c r="B8" s="3" t="s">
        <v>91</v>
      </c>
      <c r="C8" s="3" t="s">
        <v>95</v>
      </c>
    </row>
    <row r="9" spans="1:3" ht="409.6" x14ac:dyDescent="0.2">
      <c r="A9" t="s">
        <v>16</v>
      </c>
      <c r="B9" s="3" t="s">
        <v>92</v>
      </c>
      <c r="C9" s="3" t="s">
        <v>96</v>
      </c>
    </row>
    <row r="10" spans="1:3" x14ac:dyDescent="0.2">
      <c r="B10" s="3"/>
    </row>
    <row r="11" spans="1:3" x14ac:dyDescent="0.2">
      <c r="A11" s="1" t="s">
        <v>19</v>
      </c>
      <c r="B11" s="3"/>
    </row>
    <row r="12" spans="1:3" ht="17" x14ac:dyDescent="0.2">
      <c r="B12" s="3" t="s">
        <v>4</v>
      </c>
      <c r="C12" t="s">
        <v>77</v>
      </c>
    </row>
    <row r="13" spans="1:3" x14ac:dyDescent="0.2">
      <c r="A13" t="s">
        <v>89</v>
      </c>
      <c r="B13" s="3">
        <v>0</v>
      </c>
      <c r="C13" s="7">
        <v>1E-3</v>
      </c>
    </row>
    <row r="14" spans="1:3" x14ac:dyDescent="0.2">
      <c r="A14" t="s">
        <v>90</v>
      </c>
      <c r="B14" s="3">
        <v>0.3</v>
      </c>
      <c r="C14" s="7">
        <v>4.4999999999999998E-2</v>
      </c>
    </row>
    <row r="15" spans="1:3" ht="409.6" x14ac:dyDescent="0.2">
      <c r="A15" t="s">
        <v>25</v>
      </c>
      <c r="B15" s="3" t="s">
        <v>93</v>
      </c>
      <c r="C15" s="3" t="s">
        <v>97</v>
      </c>
    </row>
    <row r="16" spans="1:3" ht="409.6" x14ac:dyDescent="0.2">
      <c r="A16" t="s">
        <v>16</v>
      </c>
      <c r="B16" s="3" t="s">
        <v>94</v>
      </c>
      <c r="C16" s="3" t="s">
        <v>98</v>
      </c>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JDM</vt:lpstr>
      <vt:lpstr>SLE</vt:lpstr>
      <vt:lpstr>SystemicSclerosis</vt:lpstr>
      <vt:lpstr>MCTD</vt:lpstr>
      <vt:lpstr>JPM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Sriram Sankaranarayanan</dc:creator>
  <cp:lastModifiedBy>Sriram Sankaranarayanan</cp:lastModifiedBy>
  <dcterms:created xsi:type="dcterms:W3CDTF">2024-06-03T23:33:19Z</dcterms:created>
  <dcterms:modified xsi:type="dcterms:W3CDTF">2024-06-04T02:39:39Z</dcterms:modified>
</cp:coreProperties>
</file>